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J:\Projects\VFR Waypoints\data\MY\"/>
    </mc:Choice>
  </mc:AlternateContent>
  <xr:revisionPtr revIDLastSave="0" documentId="13_ncr:1_{1E2D7DB8-3732-408C-BD78-B9D354EE6DCD}" xr6:coauthVersionLast="47" xr6:coauthVersionMax="47" xr10:uidLastSave="{00000000-0000-0000-0000-000000000000}"/>
  <bookViews>
    <workbookView xWindow="3915" yWindow="975" windowWidth="25470" windowHeight="20235" activeTab="2" xr2:uid="{00000000-000D-0000-FFFF-FFFF00000000}"/>
  </bookViews>
  <sheets>
    <sheet name="Google My Maps Output" sheetId="3" r:id="rId1"/>
    <sheet name="Garmin Output" sheetId="5" r:id="rId2"/>
    <sheet name="Source Data" sheetId="1" r:id="rId3"/>
    <sheet name="Abbreviation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5" l="1" a="1"/>
  <c r="E2" i="5" a="1"/>
  <c r="D2" i="3" a="1"/>
  <c r="C2" i="3" a="1"/>
  <c r="D2" i="5" a="1"/>
  <c r="A2" i="5" a="1"/>
  <c r="H184" i="1"/>
  <c r="G184" i="1"/>
  <c r="G183" i="1"/>
  <c r="H183" i="1" s="1"/>
  <c r="G182" i="1"/>
  <c r="H182" i="1" s="1"/>
  <c r="H181" i="1"/>
  <c r="G181" i="1"/>
  <c r="H180" i="1"/>
  <c r="G180" i="1"/>
  <c r="G179" i="1"/>
  <c r="H179" i="1" s="1"/>
  <c r="H178" i="1"/>
  <c r="G178" i="1"/>
  <c r="E184" i="1" a="1"/>
  <c r="E183" i="1" a="1"/>
  <c r="E182" i="1" a="1"/>
  <c r="E181" i="1" a="1"/>
  <c r="E180" i="1" a="1"/>
  <c r="E179" i="1" a="1"/>
  <c r="E178" i="1" a="1"/>
  <c r="J184" i="1"/>
  <c r="I184" i="1"/>
  <c r="J181" i="1"/>
  <c r="I181" i="1"/>
  <c r="J180" i="1"/>
  <c r="I180" i="1"/>
  <c r="J179" i="1"/>
  <c r="I179" i="1"/>
  <c r="J178" i="1"/>
  <c r="I178" i="1"/>
  <c r="D184" i="1"/>
  <c r="D183" i="1"/>
  <c r="D182" i="1"/>
  <c r="D181" i="1"/>
  <c r="D180" i="1"/>
  <c r="D179" i="1"/>
  <c r="D178" i="1"/>
  <c r="J177" i="1"/>
  <c r="I177" i="1"/>
  <c r="J176" i="1"/>
  <c r="I176" i="1"/>
  <c r="J174" i="1"/>
  <c r="I174" i="1"/>
  <c r="J173" i="1"/>
  <c r="I173" i="1"/>
  <c r="J171" i="1"/>
  <c r="I171" i="1"/>
  <c r="J170" i="1"/>
  <c r="I170" i="1"/>
  <c r="G177" i="1"/>
  <c r="H177" i="1" s="1"/>
  <c r="G176" i="1"/>
  <c r="H176" i="1" s="1"/>
  <c r="G175" i="1"/>
  <c r="H175" i="1" s="1"/>
  <c r="G174" i="1"/>
  <c r="H174" i="1" s="1"/>
  <c r="H173" i="1"/>
  <c r="G173" i="1"/>
  <c r="G172" i="1"/>
  <c r="H172" i="1" s="1"/>
  <c r="G171" i="1"/>
  <c r="H171" i="1" s="1"/>
  <c r="G170" i="1"/>
  <c r="H170" i="1" s="1"/>
  <c r="G169" i="1"/>
  <c r="H169" i="1" s="1"/>
  <c r="E173" i="1" a="1"/>
  <c r="E172" i="1" a="1"/>
  <c r="E171" i="1" a="1"/>
  <c r="E170" i="1" a="1"/>
  <c r="D177" i="1"/>
  <c r="E177" i="1" s="1" a="1"/>
  <c r="D176" i="1"/>
  <c r="E176" i="1" s="1" a="1"/>
  <c r="D175" i="1"/>
  <c r="E175" i="1" s="1" a="1"/>
  <c r="D174" i="1"/>
  <c r="E174" i="1" s="1" a="1"/>
  <c r="D173" i="1"/>
  <c r="D172" i="1"/>
  <c r="D171" i="1"/>
  <c r="D170" i="1"/>
  <c r="D169" i="1"/>
  <c r="E169" i="1" s="1" a="1"/>
  <c r="D51" i="1"/>
  <c r="J168" i="1"/>
  <c r="I168" i="1"/>
  <c r="J167" i="1"/>
  <c r="I167" i="1"/>
  <c r="J166" i="1"/>
  <c r="I166" i="1"/>
  <c r="J165" i="1"/>
  <c r="I165" i="1"/>
  <c r="J164" i="1"/>
  <c r="I164" i="1"/>
  <c r="J163" i="1"/>
  <c r="I163" i="1"/>
  <c r="J162" i="1"/>
  <c r="I162" i="1"/>
  <c r="J161" i="1"/>
  <c r="I161" i="1"/>
  <c r="J160" i="1"/>
  <c r="I160" i="1"/>
  <c r="J159" i="1"/>
  <c r="I159" i="1"/>
  <c r="J158" i="1"/>
  <c r="I158" i="1"/>
  <c r="J157" i="1"/>
  <c r="I157" i="1"/>
  <c r="J156" i="1"/>
  <c r="I156" i="1"/>
  <c r="J155" i="1"/>
  <c r="I155" i="1"/>
  <c r="J154" i="1"/>
  <c r="I154" i="1"/>
  <c r="J153" i="1"/>
  <c r="I153" i="1"/>
  <c r="J152" i="1"/>
  <c r="I152" i="1"/>
  <c r="J151" i="1"/>
  <c r="I151" i="1"/>
  <c r="J150" i="1"/>
  <c r="I150" i="1"/>
  <c r="J149" i="1"/>
  <c r="I149" i="1"/>
  <c r="J148" i="1"/>
  <c r="I148" i="1"/>
  <c r="J147" i="1"/>
  <c r="I147" i="1"/>
  <c r="G168" i="1"/>
  <c r="H168" i="1" s="1"/>
  <c r="G167" i="1"/>
  <c r="H167" i="1" s="1"/>
  <c r="G166" i="1"/>
  <c r="H166" i="1" s="1"/>
  <c r="G165" i="1"/>
  <c r="H165" i="1" s="1"/>
  <c r="G164" i="1"/>
  <c r="H164" i="1" s="1"/>
  <c r="G163" i="1"/>
  <c r="H163" i="1" s="1"/>
  <c r="G162" i="1"/>
  <c r="H162" i="1" s="1"/>
  <c r="G161" i="1"/>
  <c r="H161" i="1" s="1"/>
  <c r="G160" i="1"/>
  <c r="H160" i="1" s="1"/>
  <c r="G159" i="1"/>
  <c r="H159" i="1" s="1"/>
  <c r="G158" i="1"/>
  <c r="H158" i="1" s="1"/>
  <c r="G157" i="1"/>
  <c r="H157" i="1" s="1"/>
  <c r="G156" i="1"/>
  <c r="H156" i="1" s="1"/>
  <c r="G155" i="1"/>
  <c r="H155" i="1" s="1"/>
  <c r="G154" i="1"/>
  <c r="H154" i="1" s="1"/>
  <c r="G153" i="1"/>
  <c r="H153" i="1" s="1"/>
  <c r="G152" i="1"/>
  <c r="H152" i="1" s="1"/>
  <c r="G151" i="1"/>
  <c r="H151" i="1" s="1"/>
  <c r="G150" i="1"/>
  <c r="H150" i="1" s="1"/>
  <c r="G149" i="1"/>
  <c r="H149" i="1" s="1"/>
  <c r="G148" i="1"/>
  <c r="H148" i="1" s="1"/>
  <c r="G147" i="1"/>
  <c r="H147" i="1" s="1"/>
  <c r="G146" i="1"/>
  <c r="H146" i="1" s="1"/>
  <c r="G145" i="1"/>
  <c r="H145" i="1" s="1"/>
  <c r="G144" i="1"/>
  <c r="H144" i="1" s="1"/>
  <c r="E168" i="1" a="1"/>
  <c r="E156" i="1" a="1"/>
  <c r="D168" i="1"/>
  <c r="D167" i="1"/>
  <c r="E167" i="1" s="1" a="1"/>
  <c r="D166" i="1"/>
  <c r="E166" i="1" s="1" a="1"/>
  <c r="D165" i="1"/>
  <c r="E165" i="1" s="1" a="1"/>
  <c r="D164" i="1"/>
  <c r="E164" i="1" s="1" a="1"/>
  <c r="D163" i="1"/>
  <c r="E163" i="1" s="1" a="1"/>
  <c r="D162" i="1"/>
  <c r="E162" i="1" s="1" a="1"/>
  <c r="D161" i="1"/>
  <c r="E161" i="1" s="1" a="1"/>
  <c r="D160" i="1"/>
  <c r="E160" i="1" s="1" a="1"/>
  <c r="D159" i="1"/>
  <c r="E159" i="1" s="1" a="1"/>
  <c r="D158" i="1"/>
  <c r="E158" i="1" s="1" a="1"/>
  <c r="D157" i="1"/>
  <c r="E157" i="1" s="1" a="1"/>
  <c r="D156" i="1"/>
  <c r="D155" i="1"/>
  <c r="E155" i="1" s="1" a="1"/>
  <c r="D154" i="1"/>
  <c r="E154" i="1" s="1" a="1"/>
  <c r="D153" i="1"/>
  <c r="E153" i="1" s="1" a="1"/>
  <c r="D152" i="1"/>
  <c r="E152" i="1" s="1" a="1"/>
  <c r="D151" i="1"/>
  <c r="E151" i="1" s="1" a="1"/>
  <c r="D150" i="1"/>
  <c r="E150" i="1" s="1" a="1"/>
  <c r="D149" i="1"/>
  <c r="E149" i="1" s="1" a="1"/>
  <c r="D148" i="1"/>
  <c r="E148" i="1" s="1" a="1"/>
  <c r="D147" i="1"/>
  <c r="E147" i="1" s="1" a="1"/>
  <c r="I146" i="1"/>
  <c r="J146" i="1"/>
  <c r="D146" i="1"/>
  <c r="E146" i="1" s="1" a="1"/>
  <c r="I145" i="1"/>
  <c r="J145" i="1"/>
  <c r="D145" i="1"/>
  <c r="E145" i="1" s="1" a="1"/>
  <c r="I144" i="1"/>
  <c r="J144" i="1"/>
  <c r="D144" i="1"/>
  <c r="E144" i="1" s="1" a="1"/>
  <c r="G143" i="1"/>
  <c r="H143" i="1" s="1"/>
  <c r="G142" i="1"/>
  <c r="H142" i="1" s="1"/>
  <c r="D143" i="1"/>
  <c r="E143" i="1" s="1" a="1"/>
  <c r="D142" i="1"/>
  <c r="E142" i="1" s="1" a="1"/>
  <c r="I143" i="1"/>
  <c r="J143" i="1"/>
  <c r="I142" i="1"/>
  <c r="J142" i="1"/>
  <c r="G141" i="1"/>
  <c r="H141" i="1" s="1"/>
  <c r="G140" i="1"/>
  <c r="H140" i="1" s="1"/>
  <c r="G139" i="1"/>
  <c r="H139" i="1" s="1"/>
  <c r="G138" i="1"/>
  <c r="H138" i="1" s="1"/>
  <c r="G137" i="1"/>
  <c r="H137" i="1" s="1"/>
  <c r="G136" i="1"/>
  <c r="H136" i="1" s="1"/>
  <c r="G135" i="1"/>
  <c r="H135" i="1" s="1"/>
  <c r="G134" i="1"/>
  <c r="H134" i="1" s="1"/>
  <c r="I141" i="1"/>
  <c r="J141" i="1"/>
  <c r="D141" i="1"/>
  <c r="E141" i="1" s="1" a="1"/>
  <c r="I140" i="1"/>
  <c r="J140" i="1"/>
  <c r="D140" i="1"/>
  <c r="E140" i="1" s="1" a="1"/>
  <c r="I139" i="1"/>
  <c r="J139" i="1"/>
  <c r="D139" i="1"/>
  <c r="E139" i="1" s="1" a="1"/>
  <c r="I138" i="1"/>
  <c r="J138" i="1"/>
  <c r="D138" i="1"/>
  <c r="E138" i="1" s="1" a="1"/>
  <c r="I137" i="1"/>
  <c r="J137" i="1"/>
  <c r="D137" i="1"/>
  <c r="E137" i="1" s="1" a="1"/>
  <c r="I136" i="1"/>
  <c r="J136" i="1"/>
  <c r="D136" i="1"/>
  <c r="E136" i="1" s="1" a="1"/>
  <c r="I135" i="1"/>
  <c r="J135" i="1"/>
  <c r="D135" i="1"/>
  <c r="E135" i="1" s="1" a="1"/>
  <c r="I134" i="1"/>
  <c r="J134" i="1"/>
  <c r="D134" i="1"/>
  <c r="E134" i="1" s="1" a="1"/>
  <c r="I133" i="1"/>
  <c r="J133" i="1"/>
  <c r="G133" i="1"/>
  <c r="H133" i="1" s="1"/>
  <c r="D133" i="1"/>
  <c r="E133" i="1" s="1" a="1"/>
  <c r="J132" i="1"/>
  <c r="I132" i="1"/>
  <c r="J131" i="1"/>
  <c r="I131" i="1"/>
  <c r="J130" i="1"/>
  <c r="I130" i="1"/>
  <c r="J129" i="1"/>
  <c r="I129" i="1"/>
  <c r="J128" i="1"/>
  <c r="I128" i="1"/>
  <c r="J127" i="1"/>
  <c r="I127" i="1"/>
  <c r="J126" i="1"/>
  <c r="I126" i="1"/>
  <c r="J125" i="1"/>
  <c r="I125" i="1"/>
  <c r="J124" i="1"/>
  <c r="I124" i="1"/>
  <c r="J123" i="1"/>
  <c r="I123" i="1"/>
  <c r="J122" i="1"/>
  <c r="I122" i="1"/>
  <c r="G132" i="1"/>
  <c r="H132" i="1" s="1"/>
  <c r="G131" i="1"/>
  <c r="H131" i="1" s="1"/>
  <c r="G130" i="1"/>
  <c r="H130" i="1" s="1"/>
  <c r="G129" i="1"/>
  <c r="H129" i="1" s="1"/>
  <c r="G128" i="1"/>
  <c r="H128" i="1" s="1"/>
  <c r="G127" i="1"/>
  <c r="H127" i="1" s="1"/>
  <c r="G126" i="1"/>
  <c r="H126" i="1" s="1"/>
  <c r="G125" i="1"/>
  <c r="H125" i="1" s="1"/>
  <c r="G124" i="1"/>
  <c r="H124" i="1" s="1"/>
  <c r="G123" i="1"/>
  <c r="H123" i="1" s="1"/>
  <c r="G122" i="1"/>
  <c r="H122" i="1" s="1"/>
  <c r="G121" i="1"/>
  <c r="H121" i="1" s="1"/>
  <c r="G120" i="1"/>
  <c r="H120" i="1" s="1"/>
  <c r="G119" i="1"/>
  <c r="H119" i="1" s="1"/>
  <c r="G118" i="1"/>
  <c r="H118" i="1" s="1"/>
  <c r="G117" i="1"/>
  <c r="H117" i="1" s="1"/>
  <c r="D132" i="1"/>
  <c r="E132" i="1" s="1" a="1"/>
  <c r="D131" i="1"/>
  <c r="E131" i="1" s="1" a="1"/>
  <c r="D130" i="1"/>
  <c r="E130" i="1" s="1" a="1"/>
  <c r="D129" i="1"/>
  <c r="E129" i="1" s="1" a="1"/>
  <c r="D128" i="1"/>
  <c r="E128" i="1" s="1" a="1"/>
  <c r="D127" i="1"/>
  <c r="E127" i="1" s="1" a="1"/>
  <c r="D126" i="1"/>
  <c r="E126" i="1" s="1" a="1"/>
  <c r="D125" i="1"/>
  <c r="E125" i="1" s="1" a="1"/>
  <c r="D124" i="1"/>
  <c r="E124" i="1" s="1" a="1"/>
  <c r="D123" i="1"/>
  <c r="E123" i="1" s="1" a="1"/>
  <c r="D122" i="1"/>
  <c r="E122" i="1" s="1" a="1"/>
  <c r="I121" i="1"/>
  <c r="J121" i="1"/>
  <c r="D121" i="1"/>
  <c r="E121" i="1" s="1" a="1"/>
  <c r="I120" i="1"/>
  <c r="J120" i="1"/>
  <c r="D120" i="1"/>
  <c r="E120" i="1" s="1" a="1"/>
  <c r="I119" i="1"/>
  <c r="J119" i="1"/>
  <c r="D119" i="1"/>
  <c r="E119" i="1" s="1" a="1"/>
  <c r="I118" i="1"/>
  <c r="J118" i="1"/>
  <c r="D118" i="1"/>
  <c r="E118" i="1" s="1" a="1"/>
  <c r="I117" i="1"/>
  <c r="J117" i="1"/>
  <c r="D117" i="1"/>
  <c r="E117" i="1" s="1" a="1"/>
  <c r="G116" i="1"/>
  <c r="H116" i="1" s="1"/>
  <c r="G115" i="1"/>
  <c r="H115" i="1" s="1"/>
  <c r="I116" i="1"/>
  <c r="J116" i="1"/>
  <c r="D116" i="1"/>
  <c r="E116" i="1" s="1" a="1"/>
  <c r="G114" i="1"/>
  <c r="H114" i="1" s="1"/>
  <c r="D115" i="1"/>
  <c r="E115" i="1" s="1" a="1"/>
  <c r="I115" i="1"/>
  <c r="J115" i="1"/>
  <c r="I114" i="1"/>
  <c r="J114" i="1"/>
  <c r="D114" i="1"/>
  <c r="E114" i="1" s="1" a="1"/>
  <c r="D113" i="1"/>
  <c r="D112" i="1"/>
  <c r="E112" i="1" s="1" a="1"/>
  <c r="D111" i="1"/>
  <c r="E111" i="1" s="1" a="1"/>
  <c r="D110" i="1"/>
  <c r="E110" i="1" s="1" a="1"/>
  <c r="D109" i="1"/>
  <c r="D108" i="1"/>
  <c r="D107" i="1"/>
  <c r="E107" i="1" s="1" a="1"/>
  <c r="D106" i="1"/>
  <c r="E106" i="1" s="1" a="1"/>
  <c r="D105" i="1"/>
  <c r="E105" i="1" s="1" a="1"/>
  <c r="D104" i="1"/>
  <c r="D103" i="1"/>
  <c r="E103" i="1" s="1" a="1"/>
  <c r="D102" i="1"/>
  <c r="E102" i="1" s="1" a="1"/>
  <c r="D101" i="1"/>
  <c r="E101" i="1" s="1" a="1"/>
  <c r="D100" i="1"/>
  <c r="D99" i="1"/>
  <c r="D98" i="1"/>
  <c r="E98" i="1" s="1" a="1"/>
  <c r="D97" i="1"/>
  <c r="D96" i="1"/>
  <c r="D95" i="1"/>
  <c r="E95" i="1" s="1" a="1"/>
  <c r="D94" i="1"/>
  <c r="E94" i="1" s="1" a="1"/>
  <c r="D93" i="1"/>
  <c r="E93" i="1" s="1" a="1"/>
  <c r="D92" i="1"/>
  <c r="D91" i="1"/>
  <c r="E91" i="1" s="1" a="1"/>
  <c r="D90" i="1"/>
  <c r="E90" i="1" s="1" a="1"/>
  <c r="D89" i="1"/>
  <c r="D88" i="1"/>
  <c r="D87" i="1"/>
  <c r="D86" i="1"/>
  <c r="E86" i="1" s="1" a="1"/>
  <c r="D85" i="1"/>
  <c r="E85" i="1" s="1" a="1"/>
  <c r="D84" i="1"/>
  <c r="E84" i="1" s="1" a="1"/>
  <c r="D83" i="1"/>
  <c r="E83" i="1" s="1" a="1"/>
  <c r="D82" i="1"/>
  <c r="E82" i="1" s="1" a="1"/>
  <c r="D81" i="1"/>
  <c r="E81" i="1" s="1" a="1"/>
  <c r="D80" i="1"/>
  <c r="D79" i="1"/>
  <c r="E79" i="1" s="1" a="1"/>
  <c r="D78" i="1"/>
  <c r="E78" i="1" s="1" a="1"/>
  <c r="D77" i="1"/>
  <c r="D76" i="1"/>
  <c r="D75" i="1"/>
  <c r="D74" i="1"/>
  <c r="E74" i="1" s="1" a="1"/>
  <c r="D73" i="1"/>
  <c r="D72" i="1"/>
  <c r="E72" i="1" s="1" a="1"/>
  <c r="D71" i="1"/>
  <c r="E71" i="1" s="1" a="1"/>
  <c r="D70" i="1"/>
  <c r="E70" i="1" s="1" a="1"/>
  <c r="D69" i="1"/>
  <c r="E69" i="1" s="1" a="1"/>
  <c r="D68" i="1"/>
  <c r="D67" i="1"/>
  <c r="E67" i="1" s="1" a="1"/>
  <c r="D66" i="1"/>
  <c r="E66" i="1" s="1" a="1"/>
  <c r="D65" i="1"/>
  <c r="D64" i="1"/>
  <c r="E64" i="1" s="1" a="1"/>
  <c r="D63" i="1"/>
  <c r="E63" i="1" s="1" a="1"/>
  <c r="D62" i="1"/>
  <c r="E62" i="1" s="1" a="1"/>
  <c r="D61" i="1"/>
  <c r="D60" i="1"/>
  <c r="D59" i="1"/>
  <c r="E59" i="1" s="1" a="1"/>
  <c r="D58" i="1"/>
  <c r="E58" i="1" s="1" a="1"/>
  <c r="D57" i="1"/>
  <c r="D56" i="1"/>
  <c r="D55" i="1"/>
  <c r="E55" i="1" s="1" a="1"/>
  <c r="D54" i="1"/>
  <c r="E54" i="1" s="1" a="1"/>
  <c r="D53" i="1"/>
  <c r="D52" i="1"/>
  <c r="E52" i="1" s="1" a="1"/>
  <c r="D50" i="1"/>
  <c r="E50" i="1" s="1" a="1"/>
  <c r="D49" i="1"/>
  <c r="E49" i="1" s="1" a="1"/>
  <c r="D48" i="1"/>
  <c r="D47" i="1"/>
  <c r="E47" i="1" s="1" a="1"/>
  <c r="D46" i="1"/>
  <c r="E46" i="1" s="1" a="1"/>
  <c r="D45" i="1"/>
  <c r="E45" i="1" s="1" a="1"/>
  <c r="D44" i="1"/>
  <c r="D43" i="1"/>
  <c r="E43" i="1" s="1" a="1"/>
  <c r="D42" i="1"/>
  <c r="E42" i="1" s="1" a="1"/>
  <c r="D41" i="1"/>
  <c r="E41" i="1" s="1" a="1"/>
  <c r="D40" i="1"/>
  <c r="D39" i="1"/>
  <c r="E39" i="1" s="1" a="1"/>
  <c r="D38" i="1"/>
  <c r="E38" i="1" s="1" a="1"/>
  <c r="D37" i="1"/>
  <c r="D36" i="1"/>
  <c r="D35" i="1"/>
  <c r="D34" i="1"/>
  <c r="E34" i="1" s="1" a="1"/>
  <c r="D33" i="1"/>
  <c r="E33" i="1" s="1" a="1"/>
  <c r="D32" i="1"/>
  <c r="D31" i="1"/>
  <c r="E31" i="1" s="1" a="1"/>
  <c r="D30" i="1"/>
  <c r="E30" i="1" s="1" a="1"/>
  <c r="D29" i="1"/>
  <c r="D28" i="1"/>
  <c r="E28" i="1" s="1" a="1"/>
  <c r="D26" i="1"/>
  <c r="E26" i="1" s="1" a="1"/>
  <c r="D25" i="1"/>
  <c r="E25" i="1" s="1" a="1"/>
  <c r="D24" i="1"/>
  <c r="E24" i="1" s="1" a="1"/>
  <c r="D23" i="1"/>
  <c r="D22" i="1"/>
  <c r="E22" i="1" s="1" a="1"/>
  <c r="D21" i="1"/>
  <c r="E21" i="1" s="1" a="1"/>
  <c r="D20" i="1"/>
  <c r="E20" i="1" s="1" a="1"/>
  <c r="D19" i="1"/>
  <c r="D18" i="1"/>
  <c r="E18" i="1" s="1" a="1"/>
  <c r="D17" i="1"/>
  <c r="E17" i="1" s="1" a="1"/>
  <c r="D16" i="1"/>
  <c r="E16" i="1" s="1" a="1"/>
  <c r="D15" i="1"/>
  <c r="E15" i="1" s="1" a="1"/>
  <c r="D14" i="1"/>
  <c r="E14" i="1" s="1" a="1"/>
  <c r="D13" i="1"/>
  <c r="E13" i="1" s="1" a="1"/>
  <c r="D12" i="1"/>
  <c r="D11" i="1"/>
  <c r="E11" i="1" s="1" a="1"/>
  <c r="D10" i="1"/>
  <c r="E10" i="1" s="1" a="1"/>
  <c r="D9" i="1"/>
  <c r="E9" i="1" s="1" a="1"/>
  <c r="D8" i="1"/>
  <c r="E8" i="1" s="1" a="1"/>
  <c r="D7" i="1"/>
  <c r="D6" i="1"/>
  <c r="E6" i="1" s="1" a="1"/>
  <c r="D5" i="1"/>
  <c r="E5" i="1" s="1" a="1"/>
  <c r="D4" i="1"/>
  <c r="E4" i="1" s="1" a="1"/>
  <c r="D3" i="1"/>
  <c r="E3" i="1" s="1" a="1"/>
  <c r="D2" i="1"/>
  <c r="E2" i="1" s="1" a="1"/>
  <c r="D27" i="1"/>
  <c r="E27" i="1" s="1" a="1"/>
  <c r="G113" i="1"/>
  <c r="H113" i="1" s="1"/>
  <c r="G112" i="1"/>
  <c r="H112" i="1" s="1"/>
  <c r="G111" i="1"/>
  <c r="H111" i="1" s="1"/>
  <c r="G110" i="1"/>
  <c r="H110" i="1" s="1"/>
  <c r="G109" i="1"/>
  <c r="H109" i="1" s="1"/>
  <c r="G108" i="1"/>
  <c r="H108" i="1" s="1"/>
  <c r="G107" i="1"/>
  <c r="H107" i="1" s="1"/>
  <c r="G106" i="1"/>
  <c r="H106" i="1" s="1"/>
  <c r="G105" i="1"/>
  <c r="H105" i="1" s="1"/>
  <c r="G104" i="1"/>
  <c r="H104" i="1" s="1"/>
  <c r="G103" i="1"/>
  <c r="H103" i="1" s="1"/>
  <c r="G102" i="1"/>
  <c r="H102" i="1" s="1"/>
  <c r="G101" i="1"/>
  <c r="H101" i="1" s="1"/>
  <c r="G100" i="1"/>
  <c r="H100" i="1" s="1"/>
  <c r="G99" i="1"/>
  <c r="H99" i="1" s="1"/>
  <c r="G98" i="1"/>
  <c r="H98" i="1" s="1"/>
  <c r="G97" i="1"/>
  <c r="H97" i="1" s="1"/>
  <c r="G96" i="1"/>
  <c r="H96" i="1" s="1"/>
  <c r="G95" i="1"/>
  <c r="H95" i="1" s="1"/>
  <c r="G94" i="1"/>
  <c r="H94" i="1" s="1"/>
  <c r="G93" i="1"/>
  <c r="H93" i="1" s="1"/>
  <c r="G92" i="1"/>
  <c r="H92" i="1" s="1"/>
  <c r="G91" i="1"/>
  <c r="H91" i="1" s="1"/>
  <c r="G90" i="1"/>
  <c r="H90" i="1" s="1"/>
  <c r="G89" i="1"/>
  <c r="H89" i="1" s="1"/>
  <c r="G88" i="1"/>
  <c r="H88" i="1" s="1"/>
  <c r="G87" i="1"/>
  <c r="H87" i="1" s="1"/>
  <c r="G86" i="1"/>
  <c r="H86" i="1" s="1"/>
  <c r="G85" i="1"/>
  <c r="H85" i="1" s="1"/>
  <c r="G84" i="1"/>
  <c r="H84" i="1" s="1"/>
  <c r="G83" i="1"/>
  <c r="H83" i="1" s="1"/>
  <c r="G82" i="1"/>
  <c r="H82" i="1" s="1"/>
  <c r="G81" i="1"/>
  <c r="H81" i="1" s="1"/>
  <c r="G80" i="1"/>
  <c r="H80" i="1" s="1"/>
  <c r="G79" i="1"/>
  <c r="H79" i="1" s="1"/>
  <c r="G78" i="1"/>
  <c r="H78" i="1" s="1"/>
  <c r="G77" i="1"/>
  <c r="H77" i="1" s="1"/>
  <c r="G76" i="1"/>
  <c r="H76" i="1" s="1"/>
  <c r="G75" i="1"/>
  <c r="H75" i="1" s="1"/>
  <c r="G74" i="1"/>
  <c r="H74" i="1" s="1"/>
  <c r="G73" i="1"/>
  <c r="H73" i="1" s="1"/>
  <c r="G72" i="1"/>
  <c r="H72" i="1" s="1"/>
  <c r="G71" i="1"/>
  <c r="H71" i="1" s="1"/>
  <c r="G70" i="1"/>
  <c r="H70" i="1" s="1"/>
  <c r="G69" i="1"/>
  <c r="H69" i="1" s="1"/>
  <c r="G68" i="1"/>
  <c r="H68" i="1" s="1"/>
  <c r="G67" i="1"/>
  <c r="H67" i="1" s="1"/>
  <c r="G66" i="1"/>
  <c r="H66" i="1" s="1"/>
  <c r="G65" i="1"/>
  <c r="H65" i="1" s="1"/>
  <c r="G64" i="1"/>
  <c r="H64" i="1" s="1"/>
  <c r="G63" i="1"/>
  <c r="H63" i="1" s="1"/>
  <c r="G62" i="1"/>
  <c r="H62" i="1" s="1"/>
  <c r="G61" i="1"/>
  <c r="H61" i="1" s="1"/>
  <c r="G60" i="1"/>
  <c r="H60" i="1" s="1"/>
  <c r="G59" i="1"/>
  <c r="H59" i="1" s="1"/>
  <c r="G58" i="1"/>
  <c r="H58" i="1" s="1"/>
  <c r="G57" i="1"/>
  <c r="H57" i="1" s="1"/>
  <c r="G56" i="1"/>
  <c r="H56" i="1" s="1"/>
  <c r="G55" i="1"/>
  <c r="H55" i="1" s="1"/>
  <c r="G54" i="1"/>
  <c r="H54" i="1" s="1"/>
  <c r="G53" i="1"/>
  <c r="H53" i="1" s="1"/>
  <c r="G52" i="1"/>
  <c r="H52" i="1" s="1"/>
  <c r="G51" i="1"/>
  <c r="H51" i="1" s="1"/>
  <c r="G50" i="1"/>
  <c r="H50" i="1" s="1"/>
  <c r="G49" i="1"/>
  <c r="H49" i="1" s="1"/>
  <c r="G48" i="1"/>
  <c r="H48" i="1" s="1"/>
  <c r="G47" i="1"/>
  <c r="H47" i="1" s="1"/>
  <c r="G46" i="1"/>
  <c r="H46" i="1" s="1"/>
  <c r="G45" i="1"/>
  <c r="H45" i="1" s="1"/>
  <c r="G44" i="1"/>
  <c r="H44" i="1" s="1"/>
  <c r="G43" i="1"/>
  <c r="H43" i="1" s="1"/>
  <c r="G42" i="1"/>
  <c r="H42" i="1" s="1"/>
  <c r="G41" i="1"/>
  <c r="H41" i="1" s="1"/>
  <c r="G40" i="1"/>
  <c r="H40" i="1" s="1"/>
  <c r="G39" i="1"/>
  <c r="H39" i="1" s="1"/>
  <c r="G38" i="1"/>
  <c r="H38" i="1" s="1"/>
  <c r="G37" i="1"/>
  <c r="H37" i="1" s="1"/>
  <c r="G36" i="1"/>
  <c r="H36" i="1" s="1"/>
  <c r="G35" i="1"/>
  <c r="H35" i="1" s="1"/>
  <c r="G34" i="1"/>
  <c r="H34" i="1" s="1"/>
  <c r="G33" i="1"/>
  <c r="H33" i="1" s="1"/>
  <c r="G32" i="1"/>
  <c r="H32" i="1" s="1"/>
  <c r="G31" i="1"/>
  <c r="H31" i="1" s="1"/>
  <c r="G30" i="1"/>
  <c r="H30" i="1" s="1"/>
  <c r="G29" i="1"/>
  <c r="H29" i="1" s="1"/>
  <c r="G28" i="1"/>
  <c r="H28" i="1" s="1"/>
  <c r="G27" i="1"/>
  <c r="H27" i="1" s="1"/>
  <c r="G26" i="1"/>
  <c r="H26" i="1" s="1"/>
  <c r="G25" i="1"/>
  <c r="H25" i="1" s="1"/>
  <c r="G24" i="1"/>
  <c r="H24" i="1" s="1"/>
  <c r="G23" i="1"/>
  <c r="H23" i="1" s="1"/>
  <c r="G22" i="1"/>
  <c r="H22" i="1" s="1"/>
  <c r="G21" i="1"/>
  <c r="H21" i="1" s="1"/>
  <c r="G20" i="1"/>
  <c r="H20" i="1" s="1"/>
  <c r="G19" i="1"/>
  <c r="H19" i="1" s="1"/>
  <c r="G18" i="1"/>
  <c r="H18" i="1" s="1"/>
  <c r="G17" i="1"/>
  <c r="H17" i="1" s="1"/>
  <c r="G16" i="1"/>
  <c r="H16" i="1" s="1"/>
  <c r="G15" i="1"/>
  <c r="H15" i="1" s="1"/>
  <c r="G14" i="1"/>
  <c r="H14" i="1" s="1"/>
  <c r="G13" i="1"/>
  <c r="H13" i="1" s="1"/>
  <c r="G12" i="1"/>
  <c r="H12" i="1" s="1"/>
  <c r="G11" i="1"/>
  <c r="H11" i="1" s="1"/>
  <c r="G10" i="1"/>
  <c r="H10" i="1" s="1"/>
  <c r="G9" i="1"/>
  <c r="H9" i="1" s="1"/>
  <c r="G8" i="1"/>
  <c r="H8" i="1" s="1"/>
  <c r="G7" i="1"/>
  <c r="H7" i="1" s="1"/>
  <c r="G6" i="1"/>
  <c r="H6" i="1" s="1"/>
  <c r="G5" i="1"/>
  <c r="H5" i="1" s="1"/>
  <c r="G4" i="1"/>
  <c r="H4" i="1" s="1"/>
  <c r="G3" i="1"/>
  <c r="H3" i="1" s="1"/>
  <c r="G2" i="1"/>
  <c r="H2" i="1" s="1"/>
  <c r="E57" i="1" a="1"/>
  <c r="E23" i="1" a="1"/>
  <c r="E19" i="1" a="1"/>
  <c r="E12" i="1" a="1"/>
  <c r="E7" i="1" a="1"/>
  <c r="I113" i="1"/>
  <c r="J113" i="1"/>
  <c r="E113" i="1" a="1"/>
  <c r="I112" i="1"/>
  <c r="J112" i="1"/>
  <c r="I111" i="1"/>
  <c r="J111" i="1"/>
  <c r="I110" i="1"/>
  <c r="J110" i="1"/>
  <c r="I109" i="1"/>
  <c r="J109" i="1"/>
  <c r="E109" i="1" a="1"/>
  <c r="I108" i="1"/>
  <c r="J108" i="1"/>
  <c r="E108" i="1" a="1"/>
  <c r="I107" i="1"/>
  <c r="J107" i="1"/>
  <c r="I106" i="1"/>
  <c r="J106" i="1"/>
  <c r="I105" i="1"/>
  <c r="J105" i="1"/>
  <c r="E104" i="1" a="1"/>
  <c r="I104" i="1"/>
  <c r="J104" i="1"/>
  <c r="E100" i="1" a="1"/>
  <c r="E99" i="1" a="1"/>
  <c r="E97" i="1" a="1"/>
  <c r="E96" i="1" a="1"/>
  <c r="E92" i="1" a="1"/>
  <c r="E89" i="1" a="1"/>
  <c r="E88" i="1" a="1"/>
  <c r="E87" i="1" a="1"/>
  <c r="E80" i="1" a="1"/>
  <c r="E77" i="1" a="1"/>
  <c r="E76" i="1" a="1"/>
  <c r="E75" i="1" a="1"/>
  <c r="E73" i="1" a="1"/>
  <c r="E68" i="1" a="1"/>
  <c r="E65" i="1" a="1"/>
  <c r="E61" i="1" a="1"/>
  <c r="E60" i="1" a="1"/>
  <c r="E56" i="1" a="1"/>
  <c r="E53" i="1" a="1"/>
  <c r="E51" i="1" a="1"/>
  <c r="E48" i="1" a="1"/>
  <c r="E44" i="1" a="1"/>
  <c r="E40" i="1" a="1"/>
  <c r="E37" i="1" a="1"/>
  <c r="E36" i="1" a="1"/>
  <c r="A2" i="3" s="1" a="1"/>
  <c r="E35" i="1" a="1"/>
  <c r="E32" i="1" a="1"/>
  <c r="E29" i="1" a="1"/>
  <c r="J103" i="1"/>
  <c r="I103" i="1"/>
  <c r="J102" i="1"/>
  <c r="I102" i="1"/>
  <c r="J101" i="1"/>
  <c r="I101" i="1"/>
  <c r="J100" i="1"/>
  <c r="I100" i="1"/>
  <c r="J99" i="1"/>
  <c r="I99" i="1"/>
  <c r="J98" i="1"/>
  <c r="I98" i="1"/>
  <c r="J97" i="1"/>
  <c r="I97" i="1"/>
  <c r="J96" i="1"/>
  <c r="I96" i="1"/>
  <c r="J95" i="1"/>
  <c r="I95" i="1"/>
  <c r="J94" i="1"/>
  <c r="I94" i="1"/>
  <c r="J93" i="1"/>
  <c r="I93" i="1"/>
  <c r="J92" i="1"/>
  <c r="I92" i="1"/>
  <c r="J91" i="1"/>
  <c r="I91" i="1"/>
  <c r="J90" i="1"/>
  <c r="I90" i="1"/>
  <c r="J89" i="1"/>
  <c r="I89" i="1"/>
  <c r="J88" i="1"/>
  <c r="I88" i="1"/>
  <c r="J87" i="1"/>
  <c r="I87" i="1"/>
  <c r="J86" i="1"/>
  <c r="I86" i="1"/>
  <c r="J85" i="1"/>
  <c r="I85" i="1"/>
  <c r="J84" i="1"/>
  <c r="I84" i="1"/>
  <c r="J83" i="1"/>
  <c r="I83" i="1"/>
  <c r="J82" i="1"/>
  <c r="I82" i="1"/>
  <c r="J81" i="1"/>
  <c r="I81" i="1"/>
  <c r="J80" i="1"/>
  <c r="I80" i="1"/>
  <c r="J79" i="1"/>
  <c r="I79" i="1"/>
  <c r="J78" i="1"/>
  <c r="I78" i="1"/>
  <c r="J77" i="1"/>
  <c r="I77" i="1"/>
  <c r="J76" i="1"/>
  <c r="I76" i="1"/>
  <c r="J75" i="1"/>
  <c r="I75" i="1"/>
  <c r="J74" i="1"/>
  <c r="I74" i="1"/>
  <c r="J73" i="1"/>
  <c r="I73" i="1"/>
  <c r="J72" i="1"/>
  <c r="I72" i="1"/>
  <c r="J71" i="1"/>
  <c r="I71" i="1"/>
  <c r="J70" i="1"/>
  <c r="I70" i="1"/>
  <c r="J69" i="1"/>
  <c r="I69" i="1"/>
  <c r="J68" i="1"/>
  <c r="I68" i="1"/>
  <c r="J67" i="1"/>
  <c r="I67" i="1"/>
  <c r="J66" i="1"/>
  <c r="I66" i="1"/>
  <c r="J65" i="1"/>
  <c r="I65" i="1"/>
  <c r="J64" i="1"/>
  <c r="I64" i="1"/>
  <c r="J63" i="1"/>
  <c r="I63" i="1"/>
  <c r="J62" i="1"/>
  <c r="I62" i="1"/>
  <c r="J61" i="1"/>
  <c r="I61" i="1"/>
  <c r="J60" i="1"/>
  <c r="I60" i="1"/>
  <c r="J59" i="1"/>
  <c r="I59" i="1"/>
  <c r="J58" i="1"/>
  <c r="I58" i="1"/>
  <c r="J57" i="1"/>
  <c r="I57" i="1"/>
  <c r="J56" i="1"/>
  <c r="I56" i="1"/>
  <c r="J55" i="1"/>
  <c r="I55" i="1"/>
  <c r="J54" i="1"/>
  <c r="I54" i="1"/>
  <c r="J53" i="1"/>
  <c r="I53" i="1"/>
  <c r="J52" i="1"/>
  <c r="I52" i="1"/>
  <c r="J51" i="1"/>
  <c r="I51" i="1"/>
  <c r="J50" i="1"/>
  <c r="I50" i="1"/>
  <c r="J49" i="1"/>
  <c r="I49" i="1"/>
  <c r="J48" i="1"/>
  <c r="I48" i="1"/>
  <c r="J47" i="1"/>
  <c r="I47" i="1"/>
  <c r="J46" i="1"/>
  <c r="I46" i="1"/>
  <c r="J45" i="1"/>
  <c r="I45" i="1"/>
  <c r="J44" i="1"/>
  <c r="I44" i="1"/>
  <c r="J43" i="1"/>
  <c r="I43" i="1"/>
  <c r="J42" i="1"/>
  <c r="I42" i="1"/>
  <c r="J41" i="1"/>
  <c r="I41" i="1"/>
  <c r="J40" i="1"/>
  <c r="I40" i="1"/>
  <c r="J39" i="1"/>
  <c r="I39" i="1"/>
  <c r="J38" i="1"/>
  <c r="I38" i="1"/>
  <c r="J37" i="1"/>
  <c r="I37" i="1"/>
  <c r="J36" i="1"/>
  <c r="I36" i="1"/>
  <c r="J35" i="1"/>
  <c r="I35" i="1"/>
  <c r="J34" i="1"/>
  <c r="I34" i="1"/>
  <c r="J33" i="1"/>
  <c r="I33" i="1"/>
  <c r="J32" i="1"/>
  <c r="I32" i="1"/>
  <c r="J31" i="1"/>
  <c r="I31" i="1"/>
  <c r="J30" i="1"/>
  <c r="I30" i="1"/>
  <c r="J29" i="1"/>
  <c r="I29" i="1"/>
  <c r="J28" i="1"/>
  <c r="I28" i="1"/>
  <c r="J27" i="1"/>
  <c r="I27" i="1"/>
  <c r="J26" i="1"/>
  <c r="I26" i="1"/>
  <c r="J25" i="1"/>
  <c r="I25" i="1"/>
  <c r="J24" i="1"/>
  <c r="I24" i="1"/>
  <c r="J23" i="1"/>
  <c r="I23" i="1"/>
  <c r="J22" i="1"/>
  <c r="I22" i="1"/>
  <c r="J21" i="1"/>
  <c r="I21" i="1"/>
  <c r="J20" i="1"/>
  <c r="I20" i="1"/>
  <c r="J19" i="1"/>
  <c r="I19" i="1"/>
  <c r="J18" i="1"/>
  <c r="I18" i="1"/>
  <c r="J17" i="1"/>
  <c r="I17" i="1"/>
  <c r="J16" i="1"/>
  <c r="I16" i="1"/>
  <c r="J15" i="1"/>
  <c r="I15" i="1"/>
  <c r="J14" i="1"/>
  <c r="I14" i="1"/>
  <c r="J13" i="1"/>
  <c r="I13" i="1"/>
  <c r="J12" i="1"/>
  <c r="I12" i="1"/>
  <c r="J11" i="1"/>
  <c r="I11" i="1"/>
  <c r="J10" i="1"/>
  <c r="I10" i="1"/>
  <c r="J9" i="1"/>
  <c r="I9" i="1"/>
  <c r="J8" i="1"/>
  <c r="I8" i="1"/>
  <c r="J7" i="1"/>
  <c r="I7" i="1"/>
  <c r="J6" i="1"/>
  <c r="I6" i="1"/>
  <c r="J5" i="1"/>
  <c r="I5" i="1"/>
  <c r="J4" i="1"/>
  <c r="I4" i="1"/>
  <c r="J3" i="1"/>
  <c r="I3" i="1"/>
  <c r="J2" i="1"/>
  <c r="I2" i="1"/>
  <c r="B2" i="3" l="1" a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Joel Chan</author>
  </authors>
  <commentList>
    <comment ref="A1" authorId="0" shapeId="0" xr:uid="{2D23104C-325F-4703-9FDD-59CA77620180}">
      <text>
        <r>
          <rPr>
            <b/>
            <sz val="9"/>
            <color indexed="81"/>
            <rFont val="Tahoma"/>
            <charset val="1"/>
          </rPr>
          <t>Joel Chan:</t>
        </r>
        <r>
          <rPr>
            <sz val="9"/>
            <color indexed="81"/>
            <rFont val="Tahoma"/>
            <charset val="1"/>
          </rPr>
          <t xml:space="preserve">
No spaces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Joel Chan</author>
  </authors>
  <commentList>
    <comment ref="A1" authorId="0" shapeId="0" xr:uid="{028CE965-50FC-4D2F-A6E4-CEE4F5CC4F28}">
      <text>
        <r>
          <rPr>
            <b/>
            <sz val="9"/>
            <color indexed="81"/>
            <rFont val="Tahoma"/>
            <charset val="1"/>
          </rPr>
          <t>Joel Chan:</t>
        </r>
        <r>
          <rPr>
            <sz val="9"/>
            <color indexed="81"/>
            <rFont val="Tahoma"/>
            <charset val="1"/>
          </rPr>
          <t xml:space="preserve">
6 character limit</t>
        </r>
      </text>
    </comment>
    <comment ref="B1" authorId="0" shapeId="0" xr:uid="{EB71A839-96CF-4496-9A66-88886FC64B5B}">
      <text>
        <r>
          <rPr>
            <b/>
            <sz val="9"/>
            <color indexed="81"/>
            <rFont val="Tahoma"/>
            <charset val="1"/>
          </rPr>
          <t>Joel Chan:</t>
        </r>
        <r>
          <rPr>
            <sz val="9"/>
            <color indexed="81"/>
            <rFont val="Tahoma"/>
            <charset val="1"/>
          </rPr>
          <t xml:space="preserve">
Set to "USER WAYPOINT"</t>
        </r>
      </text>
    </comment>
    <comment ref="C1" authorId="0" shapeId="0" xr:uid="{8A74F7FF-FE7F-470E-B1B8-56A703BE8C6D}">
      <text>
        <r>
          <rPr>
            <b/>
            <sz val="9"/>
            <color indexed="81"/>
            <rFont val="Tahoma"/>
            <charset val="1"/>
          </rPr>
          <t>Joel Chan:</t>
        </r>
        <r>
          <rPr>
            <sz val="9"/>
            <color indexed="81"/>
            <rFont val="Tahoma"/>
            <charset val="1"/>
          </rPr>
          <t xml:space="preserve">
Blank for user waypoints</t>
        </r>
      </text>
    </comment>
    <comment ref="D1" authorId="0" shapeId="0" xr:uid="{CF11612B-9021-4CA2-ABD6-696D8483890C}">
      <text>
        <r>
          <rPr>
            <b/>
            <sz val="9"/>
            <color indexed="81"/>
            <rFont val="Tahoma"/>
            <charset val="1"/>
          </rPr>
          <t>Joel Chan:</t>
        </r>
        <r>
          <rPr>
            <sz val="9"/>
            <color indexed="81"/>
            <rFont val="Tahoma"/>
            <charset val="1"/>
          </rPr>
          <t xml:space="preserve">
25 character limit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Joel Chan</author>
  </authors>
  <commentList>
    <comment ref="D1" authorId="0" shapeId="0" xr:uid="{DE6D0521-45AD-4708-B9EE-6CB3FF76161D}">
      <text>
        <r>
          <rPr>
            <b/>
            <sz val="9"/>
            <color indexed="81"/>
            <rFont val="Tahoma"/>
            <family val="2"/>
          </rPr>
          <t>Joel Chan:</t>
        </r>
        <r>
          <rPr>
            <sz val="9"/>
            <color indexed="81"/>
            <rFont val="Tahoma"/>
            <family val="2"/>
          </rPr>
          <t xml:space="preserve">
Change to uppercase and underscores</t>
        </r>
      </text>
    </comment>
    <comment ref="E1" authorId="0" shapeId="0" xr:uid="{373BFE8A-F3F4-40DE-86E8-854110359683}">
      <text>
        <r>
          <rPr>
            <b/>
            <sz val="9"/>
            <color indexed="81"/>
            <rFont val="Tahoma"/>
            <family val="2"/>
          </rPr>
          <t>Joel Chan:</t>
        </r>
        <r>
          <rPr>
            <sz val="9"/>
            <color indexed="81"/>
            <rFont val="Tahoma"/>
            <family val="2"/>
          </rPr>
          <t xml:space="preserve">
Use common abbreviations
</t>
        </r>
      </text>
    </comment>
    <comment ref="F1" authorId="0" shapeId="0" xr:uid="{7156C7AF-56A0-4420-85E2-D7282FEBDD16}">
      <text>
        <r>
          <rPr>
            <b/>
            <sz val="9"/>
            <color indexed="81"/>
            <rFont val="Tahoma"/>
            <family val="2"/>
          </rPr>
          <t>Joel Chan:</t>
        </r>
        <r>
          <rPr>
            <sz val="9"/>
            <color indexed="81"/>
            <rFont val="Tahoma"/>
            <family val="2"/>
          </rPr>
          <t xml:space="preserve">
Six character name for G1000</t>
        </r>
      </text>
    </comment>
    <comment ref="H1" authorId="0" shapeId="0" xr:uid="{4555EAEE-CCF5-4DE6-B574-15010A23F1AE}">
      <text>
        <r>
          <rPr>
            <b/>
            <sz val="9"/>
            <color indexed="81"/>
            <rFont val="Tahoma"/>
            <family val="2"/>
          </rPr>
          <t>Joel Chan:</t>
        </r>
        <r>
          <rPr>
            <sz val="9"/>
            <color indexed="81"/>
            <rFont val="Tahoma"/>
            <family val="2"/>
          </rPr>
          <t xml:space="preserve">
Truncated to 25 characters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<sst xmlns="http://schemas.openxmlformats.org/spreadsheetml/2006/main" count="959" uniqueCount="624">
  <si>
    <t>Sungai Besar</t>
  </si>
  <si>
    <t>Sungai Besar Stadium</t>
  </si>
  <si>
    <t>Kuala Selangor</t>
  </si>
  <si>
    <t>Kuala Selangor Bridge</t>
  </si>
  <si>
    <t>Kapar</t>
  </si>
  <si>
    <t>Kapar Junction</t>
  </si>
  <si>
    <t>Port Klang</t>
  </si>
  <si>
    <t>Pulau Indah Bridge</t>
  </si>
  <si>
    <t>Morib</t>
  </si>
  <si>
    <t>Golf Course</t>
  </si>
  <si>
    <t>Tanjung Sepat</t>
  </si>
  <si>
    <t>Jetty Tanjung Sepat</t>
  </si>
  <si>
    <t>Tanjung Tuan (Cape Rachardo)</t>
  </si>
  <si>
    <t>Lighthouse</t>
  </si>
  <si>
    <t>Slim River</t>
  </si>
  <si>
    <t>Slim River Hospital</t>
  </si>
  <si>
    <t>Tanjung Malim</t>
  </si>
  <si>
    <t>Universiti Perguruan Sultan Idris (UPSI)</t>
  </si>
  <si>
    <t>Rawang</t>
  </si>
  <si>
    <t>Lafarge plant</t>
  </si>
  <si>
    <t>Batu Caves</t>
  </si>
  <si>
    <t>Hindu Temple</t>
  </si>
  <si>
    <t>Sungai Besi</t>
  </si>
  <si>
    <t>Smart Toll Plaza</t>
  </si>
  <si>
    <t>Kajang</t>
  </si>
  <si>
    <t>Stadium</t>
  </si>
  <si>
    <t>Seremban</t>
  </si>
  <si>
    <t>Seremban Mosque</t>
  </si>
  <si>
    <t>Bentong</t>
  </si>
  <si>
    <t>Dataran Bentong</t>
  </si>
  <si>
    <t>Rantau</t>
  </si>
  <si>
    <t>TNB Substation</t>
  </si>
  <si>
    <t>Kuala Kelawang</t>
  </si>
  <si>
    <t>Jelebu District Council</t>
  </si>
  <si>
    <t>Petaling Jaya</t>
  </si>
  <si>
    <t>Menara TM</t>
  </si>
  <si>
    <t>Bukit Lanjan</t>
  </si>
  <si>
    <t>Tol Sungai Penchala</t>
  </si>
  <si>
    <t>Puncak Perdana</t>
  </si>
  <si>
    <t>Puncak Perdana Interchange</t>
  </si>
  <si>
    <t>Shah Alam</t>
  </si>
  <si>
    <t>Sultan Salahudin Abdul Aziz Mosque</t>
  </si>
  <si>
    <t>Kuang</t>
  </si>
  <si>
    <t>Nibong Gila</t>
  </si>
  <si>
    <t>Met Weather Radar</t>
  </si>
  <si>
    <t>Titiwangsa</t>
  </si>
  <si>
    <t>Titiwangsa Lake</t>
  </si>
  <si>
    <t>Segambut</t>
  </si>
  <si>
    <t>DUKE Jalan Kuching Interchange</t>
  </si>
  <si>
    <t>UTM Mosque</t>
  </si>
  <si>
    <t>013333N 1033815E</t>
  </si>
  <si>
    <t>Benut</t>
  </si>
  <si>
    <t>013839N 1031534E</t>
  </si>
  <si>
    <t>Kulai Tol Plaza</t>
  </si>
  <si>
    <t>013900N 1033318E</t>
  </si>
  <si>
    <t>East of Johor Bahru Airfield</t>
  </si>
  <si>
    <t>014005N 1034259E</t>
  </si>
  <si>
    <t>Kota Tinggi Bridge</t>
  </si>
  <si>
    <t>014344N 1035406E</t>
  </si>
  <si>
    <t>013500N 1035500E</t>
  </si>
  <si>
    <t>East of Johor Bahru Town</t>
  </si>
  <si>
    <t>013014N 1035154E</t>
  </si>
  <si>
    <t>Felda Ulu Tebrau</t>
  </si>
  <si>
    <t>013751N 1034510E</t>
  </si>
  <si>
    <t>Tebrau City Mall</t>
  </si>
  <si>
    <t>013259N 1034748E</t>
  </si>
  <si>
    <t>014430N 1034700E</t>
  </si>
  <si>
    <t>015536N 1040658E</t>
  </si>
  <si>
    <t>014940N 1031834E</t>
  </si>
  <si>
    <t>Air Hitam</t>
  </si>
  <si>
    <t>015552N 1031033E</t>
  </si>
  <si>
    <t>Yong Peng</t>
  </si>
  <si>
    <t>020102N 1030347E</t>
  </si>
  <si>
    <t>012830N 1034954E</t>
  </si>
  <si>
    <t>Tass Andrassy</t>
  </si>
  <si>
    <t>Old Airport</t>
  </si>
  <si>
    <t>Sebatik Island</t>
  </si>
  <si>
    <t>Kalabakan</t>
  </si>
  <si>
    <t>Balung</t>
  </si>
  <si>
    <t>Kawa Hill</t>
  </si>
  <si>
    <t>Baturong</t>
  </si>
  <si>
    <t>Danum</t>
  </si>
  <si>
    <t>Junction (49KM)</t>
  </si>
  <si>
    <t>Saddle Hill</t>
  </si>
  <si>
    <t>Nagos</t>
  </si>
  <si>
    <t>Semporna</t>
  </si>
  <si>
    <t>Gaya Island</t>
  </si>
  <si>
    <t>Sipadan Island</t>
  </si>
  <si>
    <t>041917N 1180117E</t>
  </si>
  <si>
    <t>041601N 1175312E</t>
  </si>
  <si>
    <t>041323N 1174650E</t>
  </si>
  <si>
    <t>042356N 1172942E</t>
  </si>
  <si>
    <t>042152N 1180740E</t>
  </si>
  <si>
    <t>042338N 1180513E</t>
  </si>
  <si>
    <t>042824N 1180409E</t>
  </si>
  <si>
    <t>044158N 1180009E</t>
  </si>
  <si>
    <t>045107N 1174711E</t>
  </si>
  <si>
    <t>042536N 1181042E</t>
  </si>
  <si>
    <t>043613N 1181123E</t>
  </si>
  <si>
    <t>045019N 1181004E</t>
  </si>
  <si>
    <t>041756N 1181108E</t>
  </si>
  <si>
    <t>042052N 1182335E</t>
  </si>
  <si>
    <t>042659N 1183547E</t>
  </si>
  <si>
    <t>043720N 1184425E</t>
  </si>
  <si>
    <t>040826N 1183838E</t>
  </si>
  <si>
    <t>Bandar Indah (Road Junction)</t>
  </si>
  <si>
    <t>Kampong Tobanka</t>
  </si>
  <si>
    <t>Bai Island</t>
  </si>
  <si>
    <t>Tanjung Bidadari</t>
  </si>
  <si>
    <t>Kuala Kinabatangan Besar</t>
  </si>
  <si>
    <t>Kampung Bilit</t>
  </si>
  <si>
    <t>Sungai Seguntor</t>
  </si>
  <si>
    <t>Kota Kinabatangan</t>
  </si>
  <si>
    <t>Kampung Kuala Lokan</t>
  </si>
  <si>
    <t>Telupid</t>
  </si>
  <si>
    <t>Kampung Semawang</t>
  </si>
  <si>
    <t>Beluran</t>
  </si>
  <si>
    <t>Kenawi Island</t>
  </si>
  <si>
    <t>Kampung Sungai-Sungai</t>
  </si>
  <si>
    <t>Kampung Terusan</t>
  </si>
  <si>
    <t>Selingan Island</t>
  </si>
  <si>
    <t>Lankayan Island</t>
  </si>
  <si>
    <t>South of Berhala Island</t>
  </si>
  <si>
    <t>Luang Manis</t>
  </si>
  <si>
    <t>Pamaguan Primary School</t>
  </si>
  <si>
    <t>055121N 1180420E</t>
  </si>
  <si>
    <t>060109N 1180222E</t>
  </si>
  <si>
    <t>054631N 1180601E</t>
  </si>
  <si>
    <t>054928N 1182057E</t>
  </si>
  <si>
    <t>053834N 1183645E</t>
  </si>
  <si>
    <t>052951N 1181229E</t>
  </si>
  <si>
    <t>054824N 1175937E</t>
  </si>
  <si>
    <t>053520N 1175042E</t>
  </si>
  <si>
    <t>052613N 1174455E</t>
  </si>
  <si>
    <t>054528N 1174531E</t>
  </si>
  <si>
    <t>053739N 1170750E</t>
  </si>
  <si>
    <t>055810N 1175435E</t>
  </si>
  <si>
    <t>055511N 1174544E</t>
  </si>
  <si>
    <t>055342N 1173325E</t>
  </si>
  <si>
    <t>055918N 1174207E</t>
  </si>
  <si>
    <t>062533N 1174114E</t>
  </si>
  <si>
    <t>061027N 1180338E</t>
  </si>
  <si>
    <t>063000N 1175500E</t>
  </si>
  <si>
    <t>055151N 1180854E</t>
  </si>
  <si>
    <t>054000N 1173918E</t>
  </si>
  <si>
    <t>055727N 1180352E</t>
  </si>
  <si>
    <t>Port Weld</t>
  </si>
  <si>
    <t>Tanjung Piandang</t>
  </si>
  <si>
    <t>South of Pulau Aman</t>
  </si>
  <si>
    <t>Kedah Peak West</t>
  </si>
  <si>
    <t>Kuala Sungai Muda</t>
  </si>
  <si>
    <t>North of George Town</t>
  </si>
  <si>
    <t>West of Pulau Gaya</t>
  </si>
  <si>
    <t>060300N 1160000E</t>
  </si>
  <si>
    <t>Pulau Sulug</t>
  </si>
  <si>
    <t>055740N 1155930E</t>
  </si>
  <si>
    <t>Pulau Tiga</t>
  </si>
  <si>
    <t>054500N 1153930E</t>
  </si>
  <si>
    <t>Kuala Penyu</t>
  </si>
  <si>
    <t>053400N 1153600E</t>
  </si>
  <si>
    <t>Bongawan</t>
  </si>
  <si>
    <t>053220N 1155128E</t>
  </si>
  <si>
    <t>East of Papar</t>
  </si>
  <si>
    <t>054200N 1160100E</t>
  </si>
  <si>
    <t>East of Kawang</t>
  </si>
  <si>
    <t>054600N 1160300E</t>
  </si>
  <si>
    <t>East of Kinarut Town</t>
  </si>
  <si>
    <t>054906N 1160419E</t>
  </si>
  <si>
    <t>Kepayan</t>
  </si>
  <si>
    <t>055533N 1160330E</t>
  </si>
  <si>
    <t>East of Inanam Town</t>
  </si>
  <si>
    <t>055944N 1160905E</t>
  </si>
  <si>
    <t>East of Telipok</t>
  </si>
  <si>
    <t>060630N 1161230E</t>
  </si>
  <si>
    <t>Kampung Kiulu</t>
  </si>
  <si>
    <t>060342N 1161659E</t>
  </si>
  <si>
    <t>Kampung Balabakan</t>
  </si>
  <si>
    <t>060130N 1162714E</t>
  </si>
  <si>
    <t>Ranau</t>
  </si>
  <si>
    <t>055730N 1164030E</t>
  </si>
  <si>
    <t>West of Hill 1040</t>
  </si>
  <si>
    <t>060635N 1160437E</t>
  </si>
  <si>
    <t>Tanjung Dalit</t>
  </si>
  <si>
    <t>060936N 1160830E</t>
  </si>
  <si>
    <t>Kota Belud</t>
  </si>
  <si>
    <t>062048N 1162352E</t>
  </si>
  <si>
    <t>045017N 1003733E</t>
  </si>
  <si>
    <t>050517N 1002138E</t>
  </si>
  <si>
    <t>051531N 1002303E</t>
  </si>
  <si>
    <t>054437N 1002125E</t>
  </si>
  <si>
    <t>053439N 1002009E</t>
  </si>
  <si>
    <t>052753N 1001826E</t>
  </si>
  <si>
    <t>034028N 1005912E</t>
  </si>
  <si>
    <t>032026N 1011509E</t>
  </si>
  <si>
    <t>030810N 1012233E</t>
  </si>
  <si>
    <t>030156N 1012140E</t>
  </si>
  <si>
    <t>024436N 1012647E</t>
  </si>
  <si>
    <t>023933N 1013322E</t>
  </si>
  <si>
    <t>022425N 1015107E</t>
  </si>
  <si>
    <t>035014N 1012415E</t>
  </si>
  <si>
    <t>034106N 1013126E</t>
  </si>
  <si>
    <t>031833N 1013416E</t>
  </si>
  <si>
    <t>031415N 1014102E</t>
  </si>
  <si>
    <t>030632N 1014208E</t>
  </si>
  <si>
    <t>025940N 1014713E</t>
  </si>
  <si>
    <t>024319N 1015632E</t>
  </si>
  <si>
    <t>033145N 1015417E</t>
  </si>
  <si>
    <t>023541N 1015743E</t>
  </si>
  <si>
    <t>025627N 1020410E</t>
  </si>
  <si>
    <t>030657N 1013956E</t>
  </si>
  <si>
    <t>031039N 1013710E</t>
  </si>
  <si>
    <t>030804N 1012946E</t>
  </si>
  <si>
    <t>030444N 1013114E</t>
  </si>
  <si>
    <t>031610N 1013245E</t>
  </si>
  <si>
    <t>030841N 1013331E</t>
  </si>
  <si>
    <t>031039N 1014216E</t>
  </si>
  <si>
    <t>031131N 1014008E</t>
  </si>
  <si>
    <t>Lat</t>
  </si>
  <si>
    <t>Lon</t>
  </si>
  <si>
    <t>Waypoint Name</t>
  </si>
  <si>
    <t>Simpang Renggam Town</t>
  </si>
  <si>
    <t>061503N 1172104E</t>
  </si>
  <si>
    <t>Description</t>
  </si>
  <si>
    <t>Terendak</t>
  </si>
  <si>
    <t>021732N 1020528E</t>
  </si>
  <si>
    <t>Rembia</t>
  </si>
  <si>
    <t>021656N 1021254E</t>
  </si>
  <si>
    <t>Tampin</t>
  </si>
  <si>
    <t>022814N 1021348E</t>
  </si>
  <si>
    <t>Chin Chin</t>
  </si>
  <si>
    <t>021724N 1022840E</t>
  </si>
  <si>
    <t>Bt Beruang</t>
  </si>
  <si>
    <t>021432N 1021817E</t>
  </si>
  <si>
    <t>Umbai</t>
  </si>
  <si>
    <t>020920N 1022040E</t>
  </si>
  <si>
    <t>Malacca City</t>
  </si>
  <si>
    <t>021200N 1021500E</t>
  </si>
  <si>
    <t>Muar</t>
  </si>
  <si>
    <t>020342N 1023354E</t>
  </si>
  <si>
    <t>Tangkak</t>
  </si>
  <si>
    <t>021620N 1023240E</t>
  </si>
  <si>
    <t>Pagoh</t>
  </si>
  <si>
    <t>020900N 1024612E</t>
  </si>
  <si>
    <t>Waypoint Description</t>
  </si>
  <si>
    <t>Waypoint Coordinates</t>
  </si>
  <si>
    <t>Text</t>
  </si>
  <si>
    <t>Abbreviations</t>
  </si>
  <si>
    <t>SG</t>
  </si>
  <si>
    <t>TANJUNG</t>
  </si>
  <si>
    <t>TJ</t>
  </si>
  <si>
    <t>BUKIT</t>
  </si>
  <si>
    <t>BT</t>
  </si>
  <si>
    <t>Kampung Sedili Besar</t>
  </si>
  <si>
    <t>Point XRay</t>
  </si>
  <si>
    <t>Kampung Aman</t>
  </si>
  <si>
    <t>Tanjung Batai</t>
  </si>
  <si>
    <t>Mile 32 Rd Junction</t>
  </si>
  <si>
    <t>WEST_OF</t>
  </si>
  <si>
    <t>WEST</t>
  </si>
  <si>
    <t>EAST_OF</t>
  </si>
  <si>
    <t>EAST</t>
  </si>
  <si>
    <t>SOUTH_OF</t>
  </si>
  <si>
    <t>SOUTH</t>
  </si>
  <si>
    <t>NORTH_OF</t>
  </si>
  <si>
    <t>NORTH</t>
  </si>
  <si>
    <t>ISLAND</t>
  </si>
  <si>
    <t>IS</t>
  </si>
  <si>
    <t>Abbreviated Name</t>
  </si>
  <si>
    <t>SUNGAI</t>
  </si>
  <si>
    <t>East of Kg Sg Tiram</t>
  </si>
  <si>
    <t>KAMPUNG</t>
  </si>
  <si>
    <t>KG</t>
  </si>
  <si>
    <t>Mt Pyramid</t>
  </si>
  <si>
    <t>Kampung GumGum Laut</t>
  </si>
  <si>
    <t>identifier</t>
  </si>
  <si>
    <t>type</t>
  </si>
  <si>
    <t>USER WAYPOINT</t>
  </si>
  <si>
    <t>country-code</t>
  </si>
  <si>
    <t>comment</t>
  </si>
  <si>
    <t>lat</t>
  </si>
  <si>
    <t>lon</t>
  </si>
  <si>
    <t>UPPERCASE_NAME</t>
  </si>
  <si>
    <t>G1000 Name</t>
  </si>
  <si>
    <t>ETIRAM</t>
  </si>
  <si>
    <t>SDLBSR</t>
  </si>
  <si>
    <t>EASTJB</t>
  </si>
  <si>
    <t>KULAI</t>
  </si>
  <si>
    <t>FELDA</t>
  </si>
  <si>
    <t>EJBAIR</t>
  </si>
  <si>
    <t>KOTATG</t>
  </si>
  <si>
    <t>TEBMAL</t>
  </si>
  <si>
    <t>PTXRAY</t>
  </si>
  <si>
    <t>YONGPG</t>
  </si>
  <si>
    <t>AIRHTM</t>
  </si>
  <si>
    <t>SPGRNG</t>
  </si>
  <si>
    <t>SKGSEM</t>
  </si>
  <si>
    <t>BENUT</t>
  </si>
  <si>
    <t>UTMMSQ</t>
  </si>
  <si>
    <t>MALCTY</t>
  </si>
  <si>
    <t>MUAR</t>
  </si>
  <si>
    <t>TANKAK</t>
  </si>
  <si>
    <t>UMBAI</t>
  </si>
  <si>
    <t>PAGOH</t>
  </si>
  <si>
    <t>BTBERU</t>
  </si>
  <si>
    <t>CHNCHN</t>
  </si>
  <si>
    <t>TAMPIN</t>
  </si>
  <si>
    <t>REMBIA</t>
  </si>
  <si>
    <t>TRNDAK</t>
  </si>
  <si>
    <t>PLSULG</t>
  </si>
  <si>
    <t>PLTIGA</t>
  </si>
  <si>
    <t>PLGAYA</t>
  </si>
  <si>
    <t>GRGTWN</t>
  </si>
  <si>
    <t>KLMUDA</t>
  </si>
  <si>
    <t>KDHPKW</t>
  </si>
  <si>
    <t>TJPDNG</t>
  </si>
  <si>
    <t>PRTWLD</t>
  </si>
  <si>
    <t>PULAU</t>
  </si>
  <si>
    <t>P</t>
  </si>
  <si>
    <t>PAMAN</t>
  </si>
  <si>
    <t>Short Description</t>
  </si>
  <si>
    <t>KAPAR</t>
  </si>
  <si>
    <t>MORIB</t>
  </si>
  <si>
    <t>RAWANG</t>
  </si>
  <si>
    <t>KAJANG</t>
  </si>
  <si>
    <t>RANTAU</t>
  </si>
  <si>
    <t>KUANG</t>
  </si>
  <si>
    <t>BALUNG</t>
  </si>
  <si>
    <t>DANUM</t>
  </si>
  <si>
    <t>NAGOS</t>
  </si>
  <si>
    <t>RANAU</t>
  </si>
  <si>
    <t>SGBESR</t>
  </si>
  <si>
    <t>KLSELA</t>
  </si>
  <si>
    <t>PTKLNG</t>
  </si>
  <si>
    <t>TJSEPT</t>
  </si>
  <si>
    <t>TJTUAN</t>
  </si>
  <si>
    <t>SLMRVR</t>
  </si>
  <si>
    <t>TJMALM</t>
  </si>
  <si>
    <t>BATUCV</t>
  </si>
  <si>
    <t>SGBESI</t>
  </si>
  <si>
    <t>SERMBN</t>
  </si>
  <si>
    <t>BENTNG</t>
  </si>
  <si>
    <t>KLKLWG</t>
  </si>
  <si>
    <t>PETJYA</t>
  </si>
  <si>
    <t>BTLNJN</t>
  </si>
  <si>
    <t>PCKPRD</t>
  </si>
  <si>
    <t>NBGILA</t>
  </si>
  <si>
    <t>TITWGS</t>
  </si>
  <si>
    <t>SGMBUT</t>
  </si>
  <si>
    <t>TASSAN</t>
  </si>
  <si>
    <t>OLDAIR</t>
  </si>
  <si>
    <t>SBTKIS</t>
  </si>
  <si>
    <t>KLBKN</t>
  </si>
  <si>
    <t>KWAHLL</t>
  </si>
  <si>
    <t>MTPYRM</t>
  </si>
  <si>
    <t>BTRNG</t>
  </si>
  <si>
    <t>JCT49K</t>
  </si>
  <si>
    <t>KGAMAN</t>
  </si>
  <si>
    <t>TJBATI</t>
  </si>
  <si>
    <t>SDLHLL</t>
  </si>
  <si>
    <t>SMPRNA</t>
  </si>
  <si>
    <t>GAYAIS</t>
  </si>
  <si>
    <t>SPDNIS</t>
  </si>
  <si>
    <t>BNDIND</t>
  </si>
  <si>
    <t>KPTBNK</t>
  </si>
  <si>
    <t>TJBDR</t>
  </si>
  <si>
    <t>KLKNBB</t>
  </si>
  <si>
    <t>KGBILT</t>
  </si>
  <si>
    <t>SGSEG</t>
  </si>
  <si>
    <t>KTKNB</t>
  </si>
  <si>
    <t>KGKLLK</t>
  </si>
  <si>
    <t>TELPID</t>
  </si>
  <si>
    <t>KGGMGL</t>
  </si>
  <si>
    <t>KGSMWG</t>
  </si>
  <si>
    <t>BLURAN</t>
  </si>
  <si>
    <t>KNWIIS</t>
  </si>
  <si>
    <t>KGSGSG</t>
  </si>
  <si>
    <t>KGTRSN</t>
  </si>
  <si>
    <t>SLNGIS</t>
  </si>
  <si>
    <t>LNKYIS</t>
  </si>
  <si>
    <t>SBRHIS</t>
  </si>
  <si>
    <t>LNGMNS</t>
  </si>
  <si>
    <t>KLPNYU</t>
  </si>
  <si>
    <t>BNGWN</t>
  </si>
  <si>
    <t>EPAPAR</t>
  </si>
  <si>
    <t>EKAWNG</t>
  </si>
  <si>
    <t>EKNRTT</t>
  </si>
  <si>
    <t>KPYAN</t>
  </si>
  <si>
    <t>EINMNT</t>
  </si>
  <si>
    <t>ETLPOK</t>
  </si>
  <si>
    <t>KGKULU</t>
  </si>
  <si>
    <t>KGBLBK</t>
  </si>
  <si>
    <t>WH1040</t>
  </si>
  <si>
    <t>TJDLT</t>
  </si>
  <si>
    <t>KTBLUD</t>
  </si>
  <si>
    <t>PMGSCH</t>
  </si>
  <si>
    <t>SHALAM</t>
  </si>
  <si>
    <t>BAIIS</t>
  </si>
  <si>
    <t>ML32JT</t>
  </si>
  <si>
    <t>Penarik</t>
  </si>
  <si>
    <t>053545N 1024934E</t>
  </si>
  <si>
    <t>Bandar Permaisuri</t>
  </si>
  <si>
    <t>053041N 1024444E</t>
  </si>
  <si>
    <t>Kampung Merang</t>
  </si>
  <si>
    <t>053110N 1025734E</t>
  </si>
  <si>
    <t>Batu Rakit</t>
  </si>
  <si>
    <t>052640N 1030255E</t>
  </si>
  <si>
    <t>Kampung Chenering</t>
  </si>
  <si>
    <t>051618N 1031035E</t>
  </si>
  <si>
    <t>Marang</t>
  </si>
  <si>
    <t>051120N 1031314E</t>
  </si>
  <si>
    <t>Kuala Berang</t>
  </si>
  <si>
    <t>050343N 1030033E</t>
  </si>
  <si>
    <t>Tasik Kenyir</t>
  </si>
  <si>
    <t>050501N 1024841E</t>
  </si>
  <si>
    <t>Penerak</t>
  </si>
  <si>
    <t>045806N 1031914E</t>
  </si>
  <si>
    <t>Nenasi</t>
  </si>
  <si>
    <t>Pekan</t>
  </si>
  <si>
    <t>Kuantan Town</t>
  </si>
  <si>
    <t>Tanjung Gelang</t>
  </si>
  <si>
    <t>Chukai</t>
  </si>
  <si>
    <t>Gambang</t>
  </si>
  <si>
    <t>Lepar</t>
  </si>
  <si>
    <t>Muadzam</t>
  </si>
  <si>
    <t>Sungai Lembing</t>
  </si>
  <si>
    <t>Nenasi River Mouth</t>
  </si>
  <si>
    <t>Pekan Bridge</t>
  </si>
  <si>
    <t>Tower 188</t>
  </si>
  <si>
    <t>Juantan Port</t>
  </si>
  <si>
    <t>Kuala Kemaman</t>
  </si>
  <si>
    <t>Highway Y-Junction</t>
  </si>
  <si>
    <t>IIUM Gambang Complex</t>
  </si>
  <si>
    <t>Lepar Bridge</t>
  </si>
  <si>
    <t>4-junction Flyover Kuantan-Segaman Highway</t>
  </si>
  <si>
    <t>Football Field Sg Lembing</t>
  </si>
  <si>
    <t>030425N 1032620E</t>
  </si>
  <si>
    <t>033020N 1032328E</t>
  </si>
  <si>
    <t>034814N 1031939E</t>
  </si>
  <si>
    <t>035900N 1032500E</t>
  </si>
  <si>
    <t>041410N 1032655E</t>
  </si>
  <si>
    <t>033452N 1024555E</t>
  </si>
  <si>
    <t>034324N 1030331E</t>
  </si>
  <si>
    <t>032930N 1030544E</t>
  </si>
  <si>
    <t>030420N 1030412E</t>
  </si>
  <si>
    <t>035455N 1030202E</t>
  </si>
  <si>
    <t>CUKAI</t>
  </si>
  <si>
    <t>NENASI</t>
  </si>
  <si>
    <t>PEKAN</t>
  </si>
  <si>
    <t>MARANG</t>
  </si>
  <si>
    <t>LEPAR</t>
  </si>
  <si>
    <t>KUANTW</t>
  </si>
  <si>
    <t>TJGELG</t>
  </si>
  <si>
    <t>MARAN</t>
  </si>
  <si>
    <t>Maran</t>
  </si>
  <si>
    <t>GAMBNG</t>
  </si>
  <si>
    <t>MUADZM</t>
  </si>
  <si>
    <t>SGLEMB</t>
  </si>
  <si>
    <t>PENRIK</t>
  </si>
  <si>
    <t>BDRPER</t>
  </si>
  <si>
    <t>KGMRNG</t>
  </si>
  <si>
    <t>BATURK</t>
  </si>
  <si>
    <t>PGCNRG</t>
  </si>
  <si>
    <t>KLBRNG</t>
  </si>
  <si>
    <t>TSKKEN</t>
  </si>
  <si>
    <t>PENERK</t>
  </si>
  <si>
    <t>LUNDU</t>
  </si>
  <si>
    <t>Lundu</t>
  </si>
  <si>
    <t>014039N 1095113E</t>
  </si>
  <si>
    <t>Kampung Rambungan</t>
  </si>
  <si>
    <t>014131N 1100729E</t>
  </si>
  <si>
    <t>Kampung Stinggang</t>
  </si>
  <si>
    <t>012853N 1100218E</t>
  </si>
  <si>
    <t>Muara Tebas</t>
  </si>
  <si>
    <t>013828N 1102853E</t>
  </si>
  <si>
    <t>013308N 1104013E</t>
  </si>
  <si>
    <t>Tebedu</t>
  </si>
  <si>
    <t>010100N 1102127E</t>
  </si>
  <si>
    <t>Serian</t>
  </si>
  <si>
    <t>011011N 1103402E</t>
  </si>
  <si>
    <t>Simunjan</t>
  </si>
  <si>
    <t>012328N 1104458E</t>
  </si>
  <si>
    <t>Kampung Triso</t>
  </si>
  <si>
    <t>013138N 1110013E</t>
  </si>
  <si>
    <t>TEBEDU</t>
  </si>
  <si>
    <t>SERIAN</t>
  </si>
  <si>
    <t>KGRMBG</t>
  </si>
  <si>
    <t>KGSTNG</t>
  </si>
  <si>
    <t>MUARTB</t>
  </si>
  <si>
    <t>ABMSEM</t>
  </si>
  <si>
    <t>SIMUNJ</t>
  </si>
  <si>
    <t>KGTRSO</t>
  </si>
  <si>
    <t>Kampung Kuap</t>
  </si>
  <si>
    <t>012427N 1102148E</t>
  </si>
  <si>
    <t>Bukit Siol</t>
  </si>
  <si>
    <t>013444N 1102113E</t>
  </si>
  <si>
    <t>KGKUAP</t>
  </si>
  <si>
    <t>BTSIOL</t>
  </si>
  <si>
    <t>023836N 1120436E</t>
  </si>
  <si>
    <t>Nanga Tamin</t>
  </si>
  <si>
    <t>023030N 1120418E</t>
  </si>
  <si>
    <t>Lassa River</t>
  </si>
  <si>
    <t>022806N 1113630E</t>
  </si>
  <si>
    <t>Selangau</t>
  </si>
  <si>
    <t>Stapang</t>
  </si>
  <si>
    <t>022354N 1120754E</t>
  </si>
  <si>
    <t>T River Junction</t>
  </si>
  <si>
    <t>021724N 1113954E</t>
  </si>
  <si>
    <t>023124N 1121906E</t>
  </si>
  <si>
    <t>Pulau Dudong</t>
  </si>
  <si>
    <t>021124N 1115612E</t>
  </si>
  <si>
    <t>Meruan</t>
  </si>
  <si>
    <t>021806N 1120324E</t>
  </si>
  <si>
    <t>Leng</t>
  </si>
  <si>
    <t>020354N 1114600E</t>
  </si>
  <si>
    <t>Pakan Road</t>
  </si>
  <si>
    <t>015854N 1113854E</t>
  </si>
  <si>
    <t>Durin Town</t>
  </si>
  <si>
    <t>020800N 1115812E</t>
  </si>
  <si>
    <t>Kanowit</t>
  </si>
  <si>
    <t>020542N 1120906E</t>
  </si>
  <si>
    <t>053543N 1024824E</t>
  </si>
  <si>
    <t>Kampung Setiu Lama</t>
  </si>
  <si>
    <t>054053N 1024246E</t>
  </si>
  <si>
    <t>Beting Lintang</t>
  </si>
  <si>
    <t>054415N 1023903E</t>
  </si>
  <si>
    <t>054951N 1023623E</t>
  </si>
  <si>
    <t>Pulau Ru</t>
  </si>
  <si>
    <t>Kampung Besut</t>
  </si>
  <si>
    <t>054955N 1023255E</t>
  </si>
  <si>
    <t>Kampung Tok Bali</t>
  </si>
  <si>
    <t>055304N 1022906E</t>
  </si>
  <si>
    <t>Kampung Kandis</t>
  </si>
  <si>
    <t>055653N 1022634E</t>
  </si>
  <si>
    <t>Bachok</t>
  </si>
  <si>
    <t>060354N 1022324E</t>
  </si>
  <si>
    <t>Kota Bharu Town</t>
  </si>
  <si>
    <t>060755N 1021355E</t>
  </si>
  <si>
    <t>Kuala Krai</t>
  </si>
  <si>
    <t>053557N 1021412E</t>
  </si>
  <si>
    <t>Tanah Merah</t>
  </si>
  <si>
    <t>054629N 1020736E</t>
  </si>
  <si>
    <t>Bukit Melintang</t>
  </si>
  <si>
    <t>054205N 1014325E</t>
  </si>
  <si>
    <t>Jeli</t>
  </si>
  <si>
    <t>054205N 1014941E</t>
  </si>
  <si>
    <t>MERUAN</t>
  </si>
  <si>
    <t>LENG</t>
  </si>
  <si>
    <t>BACHOK</t>
  </si>
  <si>
    <t>JELI</t>
  </si>
  <si>
    <t>NGATMN</t>
  </si>
  <si>
    <t>LASSAR</t>
  </si>
  <si>
    <t>SLNGAU</t>
  </si>
  <si>
    <t>STAPNG</t>
  </si>
  <si>
    <t>TRVRJT</t>
  </si>
  <si>
    <t>PDUDNG</t>
  </si>
  <si>
    <t>PAKAN</t>
  </si>
  <si>
    <t>DURIN</t>
  </si>
  <si>
    <t>KANOWT</t>
  </si>
  <si>
    <t>PENARK</t>
  </si>
  <si>
    <t>KGSETI</t>
  </si>
  <si>
    <t>BETLTG</t>
  </si>
  <si>
    <t>PRU</t>
  </si>
  <si>
    <t>KGBSUT</t>
  </si>
  <si>
    <t>KGTOKB</t>
  </si>
  <si>
    <t>KGKNGS</t>
  </si>
  <si>
    <t>KTBHTW</t>
  </si>
  <si>
    <t>KLKRAI</t>
  </si>
  <si>
    <t>TANAMR</t>
  </si>
  <si>
    <t>BTMLTG</t>
  </si>
  <si>
    <t>Abeam Narub</t>
  </si>
  <si>
    <t>Abeam Semera</t>
  </si>
  <si>
    <t>ABMNRB</t>
  </si>
  <si>
    <t>Kuah</t>
  </si>
  <si>
    <t>Pulau Timun</t>
  </si>
  <si>
    <t>Abeam Pulau Tuba</t>
  </si>
  <si>
    <t>ABEAM</t>
  </si>
  <si>
    <t>ABM</t>
  </si>
  <si>
    <t>Pulau Paya</t>
  </si>
  <si>
    <t>Kuala Perlis</t>
  </si>
  <si>
    <t>Ayer Hitam</t>
  </si>
  <si>
    <t>Kuala Kedah</t>
  </si>
  <si>
    <t>Simpang Empat</t>
  </si>
  <si>
    <t>Kota Sarang Semut</t>
  </si>
  <si>
    <t>061913N 0995101E</t>
  </si>
  <si>
    <t>061847N 0995453E</t>
  </si>
  <si>
    <t>060342N 1000225E</t>
  </si>
  <si>
    <t>061602N 0995319E</t>
  </si>
  <si>
    <t>062355N 1000820E</t>
  </si>
  <si>
    <t>061415N 1001454E</t>
  </si>
  <si>
    <t>060626N 1001737E</t>
  </si>
  <si>
    <t>060127N 1002255E</t>
  </si>
  <si>
    <t>055828N 1002359E</t>
  </si>
  <si>
    <t>KUAH</t>
  </si>
  <si>
    <t>PTIMUN</t>
  </si>
  <si>
    <t>ABMTBA</t>
  </si>
  <si>
    <t>PPAYA</t>
  </si>
  <si>
    <t>KLPRLS</t>
  </si>
  <si>
    <t>AYRHTM</t>
  </si>
  <si>
    <t>KLKDAH</t>
  </si>
  <si>
    <t>SPGEMP</t>
  </si>
  <si>
    <t>KTSASE</t>
  </si>
  <si>
    <t>Batu Hampar</t>
  </si>
  <si>
    <t>Parit</t>
  </si>
  <si>
    <t>Batu Gajah</t>
  </si>
  <si>
    <t>Gopeng</t>
  </si>
  <si>
    <t>Kampar</t>
  </si>
  <si>
    <t>Teluk Intan</t>
  </si>
  <si>
    <t>Bidor</t>
  </si>
  <si>
    <t>042736N 1010936E</t>
  </si>
  <si>
    <t>041759N 1010926E</t>
  </si>
  <si>
    <t>043156N 1004246E</t>
  </si>
  <si>
    <t>042859N 1005439E</t>
  </si>
  <si>
    <t>042810N 1010237E</t>
  </si>
  <si>
    <t>040104N 1010127E</t>
  </si>
  <si>
    <t>040648N 1011709E</t>
  </si>
  <si>
    <t>BTHMPR</t>
  </si>
  <si>
    <t>TLINTN</t>
  </si>
  <si>
    <t>PARIT</t>
  </si>
  <si>
    <t>GOPENG</t>
  </si>
  <si>
    <t>KAMPAR</t>
  </si>
  <si>
    <t>BIDOR</t>
  </si>
  <si>
    <t>BTGJAH</t>
  </si>
  <si>
    <t>South of Kg Semangar</t>
  </si>
  <si>
    <t>Guthrie - LATAR Expressway Kuang Exit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</si>
</sst>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164" fontId="0" fillId="0" borderId="0" xfId="0" applyNumberFormat="1"/>
    <xf numFmtId="0" fontId="1" fillId="3" borderId="0" xfId="0" applyFont="1" applyFill="1"/>
    <xf numFmtId="0" fontId="1" fillId="4" borderId="0" xfId="0" applyFont="1" applyFill="1"/>
    <xf numFmtId="165" fontId="0" fillId="0" borderId="0" xfId="0" applyNumberFormat="1"/>
    <xf numFmtId="165" fontId="0" fillId="5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F1890A-B29D-4106-8E75-E1D74FD2710F}">
  <dimension ref="A1:D184"/>
  <sheetViews>
    <sheetView workbookViewId="0">
      <selection activeCell="D2" sqref="D2"/>
    </sheetView>
  </sheetViews>
  <sheetFormatPr defaultRowHeight="15" x14ac:dyDescent="0.25"/>
  <cols>
    <col min="1" max="1" width="34.28515625" bestFit="1" customWidth="1"/>
    <col min="2" max="2" width="36.28515625" bestFit="1" customWidth="1"/>
    <col min="3" max="3" width="9.28515625" bestFit="1" customWidth="1"/>
    <col min="4" max="4" width="9.5703125" bestFit="1" customWidth="1"/>
  </cols>
  <sheetData>
    <row r="1" spans="1:4" x14ac:dyDescent="0.25">
      <c r="A1" s="1" t="s">
        <v>219</v>
      </c>
      <c r="B1" s="1" t="s">
        <v>222</v>
      </c>
      <c r="C1" s="1" t="s">
        <v>217</v>
      </c>
      <c r="D1" s="1" t="s">
        <v>218</v>
      </c>
    </row>
    <row r="2" spans="1:4" x14ac:dyDescent="0.25">
      <c r="A2" t="str" cm="1">
        <f t="array" ref="A2:A184">_xlfn.XLOOKUP('Source Data'!E1,'Source Data'!$E$1:$J$1,'Source Data'!$E$2:$J$184)</f>
        <v>SG_BESAR</v>
      </c>
      <c r="B2" t="str" cm="1">
        <f t="array" ref="B2:B184">_xlfn.XLOOKUP('Source Data'!G1,'Source Data'!$E$1:$J$1,'Source Data'!$E$2:$J$184)</f>
        <v>Sungai Besar Stadium</v>
      </c>
      <c r="C2" s="2" cm="1">
        <f t="array" ref="C2:C184">ROUND(_xlfn.XLOOKUP('Source Data'!I1,'Source Data'!$E$1:$J$1,'Source Data'!$E$2:$J$184), 5)</f>
        <v>3.6744400000000002</v>
      </c>
      <c r="D2" s="2" cm="1">
        <f t="array" ref="D2:D184">ROUND(_xlfn.XLOOKUP('Source Data'!J1,'Source Data'!$E$1:$J$1,'Source Data'!$E$2:$J$184), 5)</f>
        <v>100.98667</v>
      </c>
    </row>
    <row r="3" spans="1:4" x14ac:dyDescent="0.25">
      <c r="A3" t="str">
        <v>KUALA_SELANGOR</v>
      </c>
      <c r="B3" t="str">
        <v>Kuala Selangor Bridge</v>
      </c>
      <c r="C3" s="2">
        <v>3.34056</v>
      </c>
      <c r="D3" s="2">
        <v>101.2525</v>
      </c>
    </row>
    <row r="4" spans="1:4" x14ac:dyDescent="0.25">
      <c r="A4" t="str">
        <v>KAPAR</v>
      </c>
      <c r="B4" t="str">
        <v>Kapar Junction</v>
      </c>
      <c r="C4" s="2">
        <v>3.13611</v>
      </c>
      <c r="D4" s="2">
        <v>101.37582999999999</v>
      </c>
    </row>
    <row r="5" spans="1:4" x14ac:dyDescent="0.25">
      <c r="A5" t="str">
        <v>PORT_KLANG</v>
      </c>
      <c r="B5" t="str">
        <v>Pulau Indah Bridge</v>
      </c>
      <c r="C5" s="2">
        <v>3.0322200000000001</v>
      </c>
      <c r="D5" s="2">
        <v>101.36111</v>
      </c>
    </row>
    <row r="6" spans="1:4" x14ac:dyDescent="0.25">
      <c r="A6" t="str">
        <v>MORIB</v>
      </c>
      <c r="B6" t="str">
        <v>Golf Course</v>
      </c>
      <c r="C6" s="2">
        <v>2.7433299999999998</v>
      </c>
      <c r="D6" s="2">
        <v>101.44638999999999</v>
      </c>
    </row>
    <row r="7" spans="1:4" x14ac:dyDescent="0.25">
      <c r="A7" t="str">
        <v>TJ_SEPAT</v>
      </c>
      <c r="B7" t="str">
        <v>Jetty Tanjung Sepat</v>
      </c>
      <c r="C7" s="2">
        <v>2.65917</v>
      </c>
      <c r="D7" s="2">
        <v>101.55611</v>
      </c>
    </row>
    <row r="8" spans="1:4" x14ac:dyDescent="0.25">
      <c r="A8" t="str">
        <v>TJ_TUAN_(CAPE_RACHARDO)</v>
      </c>
      <c r="B8" t="str">
        <v>Lighthouse</v>
      </c>
      <c r="C8" s="2">
        <v>2.4069400000000001</v>
      </c>
      <c r="D8" s="2">
        <v>101.85194</v>
      </c>
    </row>
    <row r="9" spans="1:4" x14ac:dyDescent="0.25">
      <c r="A9" t="str">
        <v>SLIM_RIVER</v>
      </c>
      <c r="B9" t="str">
        <v>Slim River Hospital</v>
      </c>
      <c r="C9" s="2">
        <v>3.8372199999999999</v>
      </c>
      <c r="D9" s="2">
        <v>101.40416999999999</v>
      </c>
    </row>
    <row r="10" spans="1:4" x14ac:dyDescent="0.25">
      <c r="A10" t="str">
        <v>TJ_MALIM</v>
      </c>
      <c r="B10" t="str">
        <v>Universiti Perguruan Sultan Idris (UPSI)</v>
      </c>
      <c r="C10" s="2">
        <v>3.6850000000000001</v>
      </c>
      <c r="D10" s="2">
        <v>101.52388999999999</v>
      </c>
    </row>
    <row r="11" spans="1:4" x14ac:dyDescent="0.25">
      <c r="A11" t="str">
        <v>RAWANG</v>
      </c>
      <c r="B11" t="str">
        <v>Lafarge plant</v>
      </c>
      <c r="C11" s="2">
        <v>3.3091699999999999</v>
      </c>
      <c r="D11" s="2">
        <v>101.57111</v>
      </c>
    </row>
    <row r="12" spans="1:4" x14ac:dyDescent="0.25">
      <c r="A12" t="str">
        <v>BATU_CAVES</v>
      </c>
      <c r="B12" t="str">
        <v>Hindu Temple</v>
      </c>
      <c r="C12" s="2">
        <v>3.2374999999999998</v>
      </c>
      <c r="D12" s="2">
        <v>101.68389000000001</v>
      </c>
    </row>
    <row r="13" spans="1:4" x14ac:dyDescent="0.25">
      <c r="A13" t="str">
        <v>SG_BESI</v>
      </c>
      <c r="B13" t="str">
        <v>Smart Toll Plaza</v>
      </c>
      <c r="C13" s="2">
        <v>3.1088900000000002</v>
      </c>
      <c r="D13" s="2">
        <v>101.70222</v>
      </c>
    </row>
    <row r="14" spans="1:4" x14ac:dyDescent="0.25">
      <c r="A14" t="str">
        <v>KAJANG</v>
      </c>
      <c r="B14" t="str">
        <v>Stadium</v>
      </c>
      <c r="C14" s="2">
        <v>2.99444</v>
      </c>
      <c r="D14" s="2">
        <v>101.78694</v>
      </c>
    </row>
    <row r="15" spans="1:4" x14ac:dyDescent="0.25">
      <c r="A15" t="str">
        <v>SEREMBAN</v>
      </c>
      <c r="B15" t="str">
        <v>Seremban Mosque</v>
      </c>
      <c r="C15" s="2">
        <v>2.72194</v>
      </c>
      <c r="D15" s="2">
        <v>101.94222000000001</v>
      </c>
    </row>
    <row r="16" spans="1:4" x14ac:dyDescent="0.25">
      <c r="A16" t="str">
        <v>BENTONG</v>
      </c>
      <c r="B16" t="str">
        <v>Dataran Bentong</v>
      </c>
      <c r="C16" s="2">
        <v>3.5291700000000001</v>
      </c>
      <c r="D16" s="2">
        <v>101.90472</v>
      </c>
    </row>
    <row r="17" spans="1:4" x14ac:dyDescent="0.25">
      <c r="A17" t="str">
        <v>RANTAU</v>
      </c>
      <c r="B17" t="str">
        <v>TNB Substation</v>
      </c>
      <c r="C17" s="2">
        <v>2.5947200000000001</v>
      </c>
      <c r="D17" s="2">
        <v>101.96194</v>
      </c>
    </row>
    <row r="18" spans="1:4" x14ac:dyDescent="0.25">
      <c r="A18" t="str">
        <v>KUALA_KELAWANG</v>
      </c>
      <c r="B18" t="str">
        <v>Jelebu District Council</v>
      </c>
      <c r="C18" s="2">
        <v>2.9408300000000001</v>
      </c>
      <c r="D18" s="2">
        <v>102.06944</v>
      </c>
    </row>
    <row r="19" spans="1:4" x14ac:dyDescent="0.25">
      <c r="A19" t="str">
        <v>PETALING_JAYA</v>
      </c>
      <c r="B19" t="str">
        <v>Menara TM</v>
      </c>
      <c r="C19" s="2">
        <v>3.1158299999999999</v>
      </c>
      <c r="D19" s="2">
        <v>101.66556</v>
      </c>
    </row>
    <row r="20" spans="1:4" x14ac:dyDescent="0.25">
      <c r="A20" t="str">
        <v>BT_LANJAN</v>
      </c>
      <c r="B20" t="str">
        <v>Tol Sungai Penchala</v>
      </c>
      <c r="C20" s="2">
        <v>3.1775000000000002</v>
      </c>
      <c r="D20" s="2">
        <v>101.61944</v>
      </c>
    </row>
    <row r="21" spans="1:4" x14ac:dyDescent="0.25">
      <c r="A21" t="str">
        <v>PUNCAK_PERDANA</v>
      </c>
      <c r="B21" t="str">
        <v>Puncak Perdana Interchange</v>
      </c>
      <c r="C21" s="2">
        <v>3.1344400000000001</v>
      </c>
      <c r="D21" s="2">
        <v>101.49611</v>
      </c>
    </row>
    <row r="22" spans="1:4" x14ac:dyDescent="0.25">
      <c r="A22" t="str">
        <v>SHAH_ALAM</v>
      </c>
      <c r="B22" t="str">
        <v>Sultan Salahudin Abdul Aziz Mosque</v>
      </c>
      <c r="C22" s="2">
        <v>3.0788899999999999</v>
      </c>
      <c r="D22" s="2">
        <v>101.52056</v>
      </c>
    </row>
    <row r="23" spans="1:4" x14ac:dyDescent="0.25">
      <c r="A23" t="str">
        <v>KUANG</v>
      </c>
      <c r="B23" t="str">
        <v>Guthrie - LATAR Expressway Kuang Exit</v>
      </c>
      <c r="C23" s="2">
        <v>3.2694399999999999</v>
      </c>
      <c r="D23" s="2">
        <v>101.54583</v>
      </c>
    </row>
    <row r="24" spans="1:4" x14ac:dyDescent="0.25">
      <c r="A24" t="str">
        <v>NIBONG_GILA</v>
      </c>
      <c r="B24" t="str">
        <v>Met Weather Radar</v>
      </c>
      <c r="C24" s="2">
        <v>3.14472</v>
      </c>
      <c r="D24" s="2">
        <v>101.55861</v>
      </c>
    </row>
    <row r="25" spans="1:4" x14ac:dyDescent="0.25">
      <c r="A25" t="str">
        <v>TITIWANGSA</v>
      </c>
      <c r="B25" t="str">
        <v>Titiwangsa Lake</v>
      </c>
      <c r="C25" s="2">
        <v>3.1775000000000002</v>
      </c>
      <c r="D25" s="2">
        <v>101.70444000000001</v>
      </c>
    </row>
    <row r="26" spans="1:4" x14ac:dyDescent="0.25">
      <c r="A26" t="str">
        <v>SEGAMBUT</v>
      </c>
      <c r="B26" t="str">
        <v>DUKE Jalan Kuching Interchange</v>
      </c>
      <c r="C26" s="2">
        <v>3.1919400000000002</v>
      </c>
      <c r="D26" s="2">
        <v>101.66889</v>
      </c>
    </row>
    <row r="27" spans="1:4" x14ac:dyDescent="0.25">
      <c r="A27" t="str">
        <v>UTM_MOSQUE</v>
      </c>
      <c r="B27" t="str">
        <v>UTM Mosque</v>
      </c>
      <c r="C27" s="2">
        <v>1.5591699999999999</v>
      </c>
      <c r="D27" s="2">
        <v>103.6375</v>
      </c>
    </row>
    <row r="28" spans="1:4" x14ac:dyDescent="0.25">
      <c r="A28" t="str">
        <v>BENUT</v>
      </c>
      <c r="B28" t="str">
        <v>Benut</v>
      </c>
      <c r="C28" s="2">
        <v>1.6441699999999999</v>
      </c>
      <c r="D28" s="2">
        <v>103.25944</v>
      </c>
    </row>
    <row r="29" spans="1:4" x14ac:dyDescent="0.25">
      <c r="A29" t="str">
        <v>KULAI_TOL_PLAZA</v>
      </c>
      <c r="B29" t="str">
        <v>Kulai Tol Plaza</v>
      </c>
      <c r="C29" s="2">
        <v>1.65</v>
      </c>
      <c r="D29" s="2">
        <v>103.55500000000001</v>
      </c>
    </row>
    <row r="30" spans="1:4" x14ac:dyDescent="0.25">
      <c r="A30" t="str">
        <v>EAST_JOHOR_BAHRU_AIRFIELD</v>
      </c>
      <c r="B30" t="str">
        <v>East of Johor Bahru Airfield</v>
      </c>
      <c r="C30" s="2">
        <v>1.6680600000000001</v>
      </c>
      <c r="D30" s="2">
        <v>103.71639</v>
      </c>
    </row>
    <row r="31" spans="1:4" x14ac:dyDescent="0.25">
      <c r="A31" t="str">
        <v>KOTA_TINGGI_BRIDGE</v>
      </c>
      <c r="B31" t="str">
        <v>Kota Tinggi Bridge</v>
      </c>
      <c r="C31" s="2">
        <v>1.72889</v>
      </c>
      <c r="D31" s="2">
        <v>103.90167</v>
      </c>
    </row>
    <row r="32" spans="1:4" x14ac:dyDescent="0.25">
      <c r="A32" t="str">
        <v>EAST_KG_SG_TIRAM</v>
      </c>
      <c r="B32" t="str">
        <v>East of Kg Sg Tiram</v>
      </c>
      <c r="C32" s="2">
        <v>1.5833299999999999</v>
      </c>
      <c r="D32" s="2">
        <v>103.91667</v>
      </c>
    </row>
    <row r="33" spans="1:4" x14ac:dyDescent="0.25">
      <c r="A33" t="str">
        <v>EAST_JOHOR_BAHRU_TOWN</v>
      </c>
      <c r="B33" t="str">
        <v>East of Johor Bahru Town</v>
      </c>
      <c r="C33" s="2">
        <v>1.5038899999999999</v>
      </c>
      <c r="D33" s="2">
        <v>103.86499999999999</v>
      </c>
    </row>
    <row r="34" spans="1:4" x14ac:dyDescent="0.25">
      <c r="A34" t="str">
        <v>FELDA_ULU_TEBRAU</v>
      </c>
      <c r="B34" t="str">
        <v>Felda Ulu Tebrau</v>
      </c>
      <c r="C34" s="2">
        <v>1.63083</v>
      </c>
      <c r="D34" s="2">
        <v>103.75278</v>
      </c>
    </row>
    <row r="35" spans="1:4" x14ac:dyDescent="0.25">
      <c r="A35" t="str">
        <v>TEBRAU_CITY_MALL</v>
      </c>
      <c r="B35" t="str">
        <v>Tebrau City Mall</v>
      </c>
      <c r="C35" s="2">
        <v>1.54972</v>
      </c>
      <c r="D35" s="2">
        <v>103.79667000000001</v>
      </c>
    </row>
    <row r="36" spans="1:4" x14ac:dyDescent="0.25">
      <c r="A36" t="str">
        <v>SOUTH_KG_SEMANGAR</v>
      </c>
      <c r="B36" t="str">
        <v>South of Kg Semangar</v>
      </c>
      <c r="C36" s="2">
        <v>1.7416700000000001</v>
      </c>
      <c r="D36" s="2">
        <v>103.78333000000001</v>
      </c>
    </row>
    <row r="37" spans="1:4" x14ac:dyDescent="0.25">
      <c r="A37" t="str">
        <v>KG_SEDILI_BESAR</v>
      </c>
      <c r="B37" t="str">
        <v>Kampung Sedili Besar</v>
      </c>
      <c r="C37" s="2">
        <v>1.9266700000000001</v>
      </c>
      <c r="D37" s="2">
        <v>104.11611000000001</v>
      </c>
    </row>
    <row r="38" spans="1:4" x14ac:dyDescent="0.25">
      <c r="A38" t="str">
        <v>SIMPANG_RENGGAM_TOWN</v>
      </c>
      <c r="B38" t="str">
        <v>Simpang Renggam Town</v>
      </c>
      <c r="C38" s="2">
        <v>1.82778</v>
      </c>
      <c r="D38" s="2">
        <v>103.30944</v>
      </c>
    </row>
    <row r="39" spans="1:4" x14ac:dyDescent="0.25">
      <c r="A39" t="str">
        <v>AIR_HITAM</v>
      </c>
      <c r="B39" t="str">
        <v>Air Hitam</v>
      </c>
      <c r="C39" s="2">
        <v>1.9311100000000001</v>
      </c>
      <c r="D39" s="2">
        <v>103.17583</v>
      </c>
    </row>
    <row r="40" spans="1:4" x14ac:dyDescent="0.25">
      <c r="A40" t="str">
        <v>YONG_PENG</v>
      </c>
      <c r="B40" t="str">
        <v>Yong Peng</v>
      </c>
      <c r="C40" s="2">
        <v>2.01722</v>
      </c>
      <c r="D40" s="2">
        <v>103.06305999999999</v>
      </c>
    </row>
    <row r="41" spans="1:4" x14ac:dyDescent="0.25">
      <c r="A41" t="str">
        <v>POINT_XRAY</v>
      </c>
      <c r="B41" t="str">
        <v>Point XRay</v>
      </c>
      <c r="C41" s="2">
        <v>1.4750000000000001</v>
      </c>
      <c r="D41" s="2">
        <v>103.83167</v>
      </c>
    </row>
    <row r="42" spans="1:4" x14ac:dyDescent="0.25">
      <c r="A42" t="str">
        <v>TASS_ANDRASSY</v>
      </c>
      <c r="B42" t="str">
        <v>Tass Andrassy</v>
      </c>
      <c r="C42" s="2">
        <v>4.3213900000000001</v>
      </c>
      <c r="D42" s="2">
        <v>118.02139</v>
      </c>
    </row>
    <row r="43" spans="1:4" x14ac:dyDescent="0.25">
      <c r="A43" t="str">
        <v>OLD_AIRPORT</v>
      </c>
      <c r="B43" t="str">
        <v>Old Airport</v>
      </c>
      <c r="C43" s="2">
        <v>4.26694</v>
      </c>
      <c r="D43" s="2">
        <v>117.88667</v>
      </c>
    </row>
    <row r="44" spans="1:4" x14ac:dyDescent="0.25">
      <c r="A44" t="str">
        <v>SEBATIK_IS</v>
      </c>
      <c r="B44" t="str">
        <v>Sebatik Island</v>
      </c>
      <c r="C44" s="2">
        <v>4.2230600000000003</v>
      </c>
      <c r="D44" s="2">
        <v>117.78055999999999</v>
      </c>
    </row>
    <row r="45" spans="1:4" x14ac:dyDescent="0.25">
      <c r="A45" t="str">
        <v>KALABAKAN</v>
      </c>
      <c r="B45" t="str">
        <v>Kalabakan</v>
      </c>
      <c r="C45" s="2">
        <v>4.3988899999999997</v>
      </c>
      <c r="D45" s="2">
        <v>117.495</v>
      </c>
    </row>
    <row r="46" spans="1:4" x14ac:dyDescent="0.25">
      <c r="A46" t="str">
        <v>BALUNG</v>
      </c>
      <c r="B46" t="str">
        <v>Balung</v>
      </c>
      <c r="C46" s="2">
        <v>4.3644400000000001</v>
      </c>
      <c r="D46" s="2">
        <v>118.12778</v>
      </c>
    </row>
    <row r="47" spans="1:4" x14ac:dyDescent="0.25">
      <c r="A47" t="str">
        <v>KAWA_HILL</v>
      </c>
      <c r="B47" t="str">
        <v>Kawa Hill</v>
      </c>
      <c r="C47" s="2">
        <v>4.3938899999999999</v>
      </c>
      <c r="D47" s="2">
        <v>118.08694</v>
      </c>
    </row>
    <row r="48" spans="1:4" x14ac:dyDescent="0.25">
      <c r="A48" t="str">
        <v>MT_PYRAMID</v>
      </c>
      <c r="B48" t="str">
        <v>Mt Pyramid</v>
      </c>
      <c r="C48" s="2">
        <v>4.4733299999999998</v>
      </c>
      <c r="D48" s="2">
        <v>118.06917</v>
      </c>
    </row>
    <row r="49" spans="1:4" x14ac:dyDescent="0.25">
      <c r="A49" t="str">
        <v>BATURONG</v>
      </c>
      <c r="B49" t="str">
        <v>Baturong</v>
      </c>
      <c r="C49" s="2">
        <v>4.6994400000000001</v>
      </c>
      <c r="D49" s="2">
        <v>118.0025</v>
      </c>
    </row>
    <row r="50" spans="1:4" x14ac:dyDescent="0.25">
      <c r="A50" t="str">
        <v>DANUM</v>
      </c>
      <c r="B50" t="str">
        <v>Danum</v>
      </c>
      <c r="C50" s="2">
        <v>4.8519399999999999</v>
      </c>
      <c r="D50" s="2">
        <v>117.78639</v>
      </c>
    </row>
    <row r="51" spans="1:4" x14ac:dyDescent="0.25">
      <c r="A51" t="str">
        <v>JUNCTION_(49KM)</v>
      </c>
      <c r="B51" t="str">
        <v>Junction (49KM)</v>
      </c>
      <c r="C51" s="2">
        <v>4.4266699999999997</v>
      </c>
      <c r="D51" s="2">
        <v>118.17833</v>
      </c>
    </row>
    <row r="52" spans="1:4" x14ac:dyDescent="0.25">
      <c r="A52" t="str">
        <v>KG_AMAN</v>
      </c>
      <c r="B52" t="str">
        <v>Kampung Aman</v>
      </c>
      <c r="C52" s="2">
        <v>4.6036099999999998</v>
      </c>
      <c r="D52" s="2">
        <v>118.18971999999999</v>
      </c>
    </row>
    <row r="53" spans="1:4" x14ac:dyDescent="0.25">
      <c r="A53" t="str">
        <v>TJ_BATAI</v>
      </c>
      <c r="B53" t="str">
        <v>Tanjung Batai</v>
      </c>
      <c r="C53" s="2">
        <v>4.8386100000000001</v>
      </c>
      <c r="D53" s="2">
        <v>118.16777999999999</v>
      </c>
    </row>
    <row r="54" spans="1:4" x14ac:dyDescent="0.25">
      <c r="A54" t="str">
        <v>SADDLE_HILL</v>
      </c>
      <c r="B54" t="str">
        <v>Saddle Hill</v>
      </c>
      <c r="C54" s="2">
        <v>4.2988900000000001</v>
      </c>
      <c r="D54" s="2">
        <v>118.18556</v>
      </c>
    </row>
    <row r="55" spans="1:4" x14ac:dyDescent="0.25">
      <c r="A55" t="str">
        <v>NAGOS</v>
      </c>
      <c r="B55" t="str">
        <v>Nagos</v>
      </c>
      <c r="C55" s="2">
        <v>4.3477800000000002</v>
      </c>
      <c r="D55" s="2">
        <v>118.39306000000001</v>
      </c>
    </row>
    <row r="56" spans="1:4" x14ac:dyDescent="0.25">
      <c r="A56" t="str">
        <v>SEMPORNA</v>
      </c>
      <c r="B56" t="str">
        <v>Semporna</v>
      </c>
      <c r="C56" s="2">
        <v>4.4497200000000001</v>
      </c>
      <c r="D56" s="2">
        <v>118.59639</v>
      </c>
    </row>
    <row r="57" spans="1:4" x14ac:dyDescent="0.25">
      <c r="A57" t="str">
        <v>GAYA_IS</v>
      </c>
      <c r="B57" t="str">
        <v>Gaya Island</v>
      </c>
      <c r="C57" s="2">
        <v>4.6222200000000004</v>
      </c>
      <c r="D57" s="2">
        <v>118.74028</v>
      </c>
    </row>
    <row r="58" spans="1:4" x14ac:dyDescent="0.25">
      <c r="A58" t="str">
        <v>SIPADAN_IS</v>
      </c>
      <c r="B58" t="str">
        <v>Sipadan Island</v>
      </c>
      <c r="C58" s="2">
        <v>4.1405599999999998</v>
      </c>
      <c r="D58" s="2">
        <v>118.64389</v>
      </c>
    </row>
    <row r="59" spans="1:4" x14ac:dyDescent="0.25">
      <c r="A59" t="str">
        <v>BANDAR_INDAH_(ROAD_JUNCTION)</v>
      </c>
      <c r="B59" t="str">
        <v>Bandar Indah (Road Junction)</v>
      </c>
      <c r="C59" s="2">
        <v>5.8558300000000001</v>
      </c>
      <c r="D59" s="2">
        <v>118.07222</v>
      </c>
    </row>
    <row r="60" spans="1:4" x14ac:dyDescent="0.25">
      <c r="A60" t="str">
        <v>KAMPONG_TOBANKA</v>
      </c>
      <c r="B60" t="str">
        <v>Kampong Tobanka</v>
      </c>
      <c r="C60" s="2">
        <v>6.0191699999999999</v>
      </c>
      <c r="D60" s="2">
        <v>118.03944</v>
      </c>
    </row>
    <row r="61" spans="1:4" x14ac:dyDescent="0.25">
      <c r="A61" t="str">
        <v>BAI_IS</v>
      </c>
      <c r="B61" t="str">
        <v>Bai Island</v>
      </c>
      <c r="C61" s="2">
        <v>5.7752800000000004</v>
      </c>
      <c r="D61" s="2">
        <v>118.10028</v>
      </c>
    </row>
    <row r="62" spans="1:4" x14ac:dyDescent="0.25">
      <c r="A62" t="str">
        <v>TJ_BIDADARI</v>
      </c>
      <c r="B62" t="str">
        <v>Tanjung Bidadari</v>
      </c>
      <c r="C62" s="2">
        <v>5.8244400000000001</v>
      </c>
      <c r="D62" s="2">
        <v>118.34917</v>
      </c>
    </row>
    <row r="63" spans="1:4" x14ac:dyDescent="0.25">
      <c r="A63" t="str">
        <v>KUALA_KINABATANGAN_BESAR</v>
      </c>
      <c r="B63" t="str">
        <v>Kuala Kinabatangan Besar</v>
      </c>
      <c r="C63" s="2">
        <v>5.6427800000000001</v>
      </c>
      <c r="D63" s="2">
        <v>118.6125</v>
      </c>
    </row>
    <row r="64" spans="1:4" x14ac:dyDescent="0.25">
      <c r="A64" t="str">
        <v>KG_BILIT</v>
      </c>
      <c r="B64" t="str">
        <v>Kampung Bilit</v>
      </c>
      <c r="C64" s="2">
        <v>5.4974999999999996</v>
      </c>
      <c r="D64" s="2">
        <v>118.20806</v>
      </c>
    </row>
    <row r="65" spans="1:4" x14ac:dyDescent="0.25">
      <c r="A65" t="str">
        <v>SG_SEGUNTOR</v>
      </c>
      <c r="B65" t="str">
        <v>Sungai Seguntor</v>
      </c>
      <c r="C65" s="2">
        <v>5.8066700000000004</v>
      </c>
      <c r="D65" s="2">
        <v>117.99361</v>
      </c>
    </row>
    <row r="66" spans="1:4" x14ac:dyDescent="0.25">
      <c r="A66" t="str">
        <v>KOTA_KINABATANGAN</v>
      </c>
      <c r="B66" t="str">
        <v>Kota Kinabatangan</v>
      </c>
      <c r="C66" s="2">
        <v>5.5888900000000001</v>
      </c>
      <c r="D66" s="2">
        <v>117.845</v>
      </c>
    </row>
    <row r="67" spans="1:4" x14ac:dyDescent="0.25">
      <c r="A67" t="str">
        <v>KG_KUALA_LOKAN</v>
      </c>
      <c r="B67" t="str">
        <v>Kampung Kuala Lokan</v>
      </c>
      <c r="C67" s="2">
        <v>5.4369399999999999</v>
      </c>
      <c r="D67" s="2">
        <v>117.74861</v>
      </c>
    </row>
    <row r="68" spans="1:4" x14ac:dyDescent="0.25">
      <c r="A68" t="str">
        <v>MILE_32_RD_JUNCTION</v>
      </c>
      <c r="B68" t="str">
        <v>Mile 32 Rd Junction</v>
      </c>
      <c r="C68" s="2">
        <v>5.7577800000000003</v>
      </c>
      <c r="D68" s="2">
        <v>117.75861</v>
      </c>
    </row>
    <row r="69" spans="1:4" x14ac:dyDescent="0.25">
      <c r="A69" t="str">
        <v>TELUPID</v>
      </c>
      <c r="B69" t="str">
        <v>Telupid</v>
      </c>
      <c r="C69" s="2">
        <v>5.6275000000000004</v>
      </c>
      <c r="D69" s="2">
        <v>117.13056</v>
      </c>
    </row>
    <row r="70" spans="1:4" x14ac:dyDescent="0.25">
      <c r="A70" t="str">
        <v>KG_GUMGUM_LAUT</v>
      </c>
      <c r="B70" t="str">
        <v>Kampung GumGum Laut</v>
      </c>
      <c r="C70" s="2">
        <v>5.9694399999999996</v>
      </c>
      <c r="D70" s="2">
        <v>117.90971999999999</v>
      </c>
    </row>
    <row r="71" spans="1:4" x14ac:dyDescent="0.25">
      <c r="A71" t="str">
        <v>KG_SEMAWANG</v>
      </c>
      <c r="B71" t="str">
        <v>Kampung Semawang</v>
      </c>
      <c r="C71" s="2">
        <v>5.9197199999999999</v>
      </c>
      <c r="D71" s="2">
        <v>117.76222</v>
      </c>
    </row>
    <row r="72" spans="1:4" x14ac:dyDescent="0.25">
      <c r="A72" t="str">
        <v>BELURAN</v>
      </c>
      <c r="B72" t="str">
        <v>Beluran</v>
      </c>
      <c r="C72" s="2">
        <v>5.8949999999999996</v>
      </c>
      <c r="D72" s="2">
        <v>117.55694</v>
      </c>
    </row>
    <row r="73" spans="1:4" x14ac:dyDescent="0.25">
      <c r="A73" t="str">
        <v>KENAWI_IS</v>
      </c>
      <c r="B73" t="str">
        <v>Kenawi Island</v>
      </c>
      <c r="C73" s="2">
        <v>5.9883300000000004</v>
      </c>
      <c r="D73" s="2">
        <v>117.70193999999999</v>
      </c>
    </row>
    <row r="74" spans="1:4" x14ac:dyDescent="0.25">
      <c r="A74" t="str">
        <v>KG_SG-SG</v>
      </c>
      <c r="B74" t="str">
        <v>Kampung Sungai-Sungai</v>
      </c>
      <c r="C74" s="2">
        <v>6.2508299999999997</v>
      </c>
      <c r="D74" s="2">
        <v>117.35111000000001</v>
      </c>
    </row>
    <row r="75" spans="1:4" x14ac:dyDescent="0.25">
      <c r="A75" t="str">
        <v>KG_TERUSAN</v>
      </c>
      <c r="B75" t="str">
        <v>Kampung Terusan</v>
      </c>
      <c r="C75" s="2">
        <v>6.4258300000000004</v>
      </c>
      <c r="D75" s="2">
        <v>117.68722</v>
      </c>
    </row>
    <row r="76" spans="1:4" x14ac:dyDescent="0.25">
      <c r="A76" t="str">
        <v>SELINGAN_IS</v>
      </c>
      <c r="B76" t="str">
        <v>Selingan Island</v>
      </c>
      <c r="C76" s="2">
        <v>6.1741700000000002</v>
      </c>
      <c r="D76" s="2">
        <v>118.06056</v>
      </c>
    </row>
    <row r="77" spans="1:4" x14ac:dyDescent="0.25">
      <c r="A77" t="str">
        <v>LANKAYAN_IS</v>
      </c>
      <c r="B77" t="str">
        <v>Lankayan Island</v>
      </c>
      <c r="C77" s="2">
        <v>6.5</v>
      </c>
      <c r="D77" s="2">
        <v>117.91667</v>
      </c>
    </row>
    <row r="78" spans="1:4" x14ac:dyDescent="0.25">
      <c r="A78" t="str">
        <v>SOUTH_BERHALA_IS</v>
      </c>
      <c r="B78" t="str">
        <v>South of Berhala Island</v>
      </c>
      <c r="C78" s="2">
        <v>5.8641699999999997</v>
      </c>
      <c r="D78" s="2">
        <v>118.14833</v>
      </c>
    </row>
    <row r="79" spans="1:4" x14ac:dyDescent="0.25">
      <c r="A79" t="str">
        <v>LUANG_MANIS</v>
      </c>
      <c r="B79" t="str">
        <v>Luang Manis</v>
      </c>
      <c r="C79" s="2">
        <v>5.6666699999999999</v>
      </c>
      <c r="D79" s="2">
        <v>117.655</v>
      </c>
    </row>
    <row r="80" spans="1:4" x14ac:dyDescent="0.25">
      <c r="A80" t="str">
        <v>PAMAGUAN_PRIMARY_SCHOOL</v>
      </c>
      <c r="B80" t="str">
        <v>Pamaguan Primary School</v>
      </c>
      <c r="C80" s="2">
        <v>5.9574999999999996</v>
      </c>
      <c r="D80" s="2">
        <v>118.06444</v>
      </c>
    </row>
    <row r="81" spans="1:4" x14ac:dyDescent="0.25">
      <c r="A81" t="str">
        <v>PORT_WELD</v>
      </c>
      <c r="B81" t="str">
        <v>Port Weld</v>
      </c>
      <c r="C81" s="2">
        <v>4.8380599999999996</v>
      </c>
      <c r="D81" s="2">
        <v>100.62582999999999</v>
      </c>
    </row>
    <row r="82" spans="1:4" x14ac:dyDescent="0.25">
      <c r="A82" t="str">
        <v>TJ_PIANDANG</v>
      </c>
      <c r="B82" t="str">
        <v>Tanjung Piandang</v>
      </c>
      <c r="C82" s="2">
        <v>5.0880599999999996</v>
      </c>
      <c r="D82" s="2">
        <v>100.36056000000001</v>
      </c>
    </row>
    <row r="83" spans="1:4" x14ac:dyDescent="0.25">
      <c r="A83" t="str">
        <v>SOUTH_P_AMAN</v>
      </c>
      <c r="B83" t="str">
        <v>South of Pulau Aman</v>
      </c>
      <c r="C83" s="2">
        <v>5.25861</v>
      </c>
      <c r="D83" s="2">
        <v>100.38417</v>
      </c>
    </row>
    <row r="84" spans="1:4" x14ac:dyDescent="0.25">
      <c r="A84" t="str">
        <v>KEDAH_PEAK_WEST</v>
      </c>
      <c r="B84" t="str">
        <v>Kedah Peak West</v>
      </c>
      <c r="C84" s="2">
        <v>5.7436100000000003</v>
      </c>
      <c r="D84" s="2">
        <v>100.35693999999999</v>
      </c>
    </row>
    <row r="85" spans="1:4" x14ac:dyDescent="0.25">
      <c r="A85" t="str">
        <v>KUALA_SG_MUDA</v>
      </c>
      <c r="B85" t="str">
        <v>Kuala Sungai Muda</v>
      </c>
      <c r="C85" s="2">
        <v>5.5774999999999997</v>
      </c>
      <c r="D85" s="2">
        <v>100.33583</v>
      </c>
    </row>
    <row r="86" spans="1:4" x14ac:dyDescent="0.25">
      <c r="A86" t="str">
        <v>NORTH_GEORGE_TOWN</v>
      </c>
      <c r="B86" t="str">
        <v>North of George Town</v>
      </c>
      <c r="C86" s="2">
        <v>5.4647199999999998</v>
      </c>
      <c r="D86" s="2">
        <v>100.30722</v>
      </c>
    </row>
    <row r="87" spans="1:4" x14ac:dyDescent="0.25">
      <c r="A87" t="str">
        <v>WEST_P_GAYA</v>
      </c>
      <c r="B87" t="str">
        <v>West of Pulau Gaya</v>
      </c>
      <c r="C87" s="2">
        <v>6.05</v>
      </c>
      <c r="D87" s="2">
        <v>116</v>
      </c>
    </row>
    <row r="88" spans="1:4" x14ac:dyDescent="0.25">
      <c r="A88" t="str">
        <v>P_SULUG</v>
      </c>
      <c r="B88" t="str">
        <v>Pulau Sulug</v>
      </c>
      <c r="C88" s="2">
        <v>5.9611099999999997</v>
      </c>
      <c r="D88" s="2">
        <v>115.99167</v>
      </c>
    </row>
    <row r="89" spans="1:4" x14ac:dyDescent="0.25">
      <c r="A89" t="str">
        <v>P_TIGA</v>
      </c>
      <c r="B89" t="str">
        <v>Pulau Tiga</v>
      </c>
      <c r="C89" s="2">
        <v>5.75</v>
      </c>
      <c r="D89" s="2">
        <v>115.65833000000001</v>
      </c>
    </row>
    <row r="90" spans="1:4" x14ac:dyDescent="0.25">
      <c r="A90" t="str">
        <v>KUALA_PENYU</v>
      </c>
      <c r="B90" t="str">
        <v>Kuala Penyu</v>
      </c>
      <c r="C90" s="2">
        <v>5.5666700000000002</v>
      </c>
      <c r="D90" s="2">
        <v>115.6</v>
      </c>
    </row>
    <row r="91" spans="1:4" x14ac:dyDescent="0.25">
      <c r="A91" t="str">
        <v>BONGAWAN</v>
      </c>
      <c r="B91" t="str">
        <v>Bongawan</v>
      </c>
      <c r="C91" s="2">
        <v>5.5388900000000003</v>
      </c>
      <c r="D91" s="2">
        <v>115.85778000000001</v>
      </c>
    </row>
    <row r="92" spans="1:4" x14ac:dyDescent="0.25">
      <c r="A92" t="str">
        <v>EAST_PAPAR</v>
      </c>
      <c r="B92" t="str">
        <v>East of Papar</v>
      </c>
      <c r="C92" s="2">
        <v>5.7</v>
      </c>
      <c r="D92" s="2">
        <v>116.01667</v>
      </c>
    </row>
    <row r="93" spans="1:4" x14ac:dyDescent="0.25">
      <c r="A93" t="str">
        <v>EAST_KAWANG</v>
      </c>
      <c r="B93" t="str">
        <v>East of Kawang</v>
      </c>
      <c r="C93" s="2">
        <v>5.7666700000000004</v>
      </c>
      <c r="D93" s="2">
        <v>116.05</v>
      </c>
    </row>
    <row r="94" spans="1:4" x14ac:dyDescent="0.25">
      <c r="A94" t="str">
        <v>EAST_KINARUT_TOWN</v>
      </c>
      <c r="B94" t="str">
        <v>East of Kinarut Town</v>
      </c>
      <c r="C94" s="2">
        <v>5.8183299999999996</v>
      </c>
      <c r="D94" s="2">
        <v>116.07194</v>
      </c>
    </row>
    <row r="95" spans="1:4" x14ac:dyDescent="0.25">
      <c r="A95" t="str">
        <v>KEPAYAN</v>
      </c>
      <c r="B95" t="str">
        <v>Kepayan</v>
      </c>
      <c r="C95" s="2">
        <v>5.9258300000000004</v>
      </c>
      <c r="D95" s="2">
        <v>116.05833</v>
      </c>
    </row>
    <row r="96" spans="1:4" x14ac:dyDescent="0.25">
      <c r="A96" t="str">
        <v>EAST_INANAM_TOWN</v>
      </c>
      <c r="B96" t="str">
        <v>East of Inanam Town</v>
      </c>
      <c r="C96" s="2">
        <v>5.9955600000000002</v>
      </c>
      <c r="D96" s="2">
        <v>116.15139000000001</v>
      </c>
    </row>
    <row r="97" spans="1:4" x14ac:dyDescent="0.25">
      <c r="A97" t="str">
        <v>EAST_TELIPOK</v>
      </c>
      <c r="B97" t="str">
        <v>East of Telipok</v>
      </c>
      <c r="C97" s="2">
        <v>6.1083299999999996</v>
      </c>
      <c r="D97" s="2">
        <v>116.20833</v>
      </c>
    </row>
    <row r="98" spans="1:4" x14ac:dyDescent="0.25">
      <c r="A98" t="str">
        <v>KG_KIULU</v>
      </c>
      <c r="B98" t="str">
        <v>Kampung Kiulu</v>
      </c>
      <c r="C98" s="2">
        <v>6.0616700000000003</v>
      </c>
      <c r="D98" s="2">
        <v>116.28306000000001</v>
      </c>
    </row>
    <row r="99" spans="1:4" x14ac:dyDescent="0.25">
      <c r="A99" t="str">
        <v>KG_BALABAKAN</v>
      </c>
      <c r="B99" t="str">
        <v>Kampung Balabakan</v>
      </c>
      <c r="C99" s="2">
        <v>6.0250000000000004</v>
      </c>
      <c r="D99" s="2">
        <v>116.45389</v>
      </c>
    </row>
    <row r="100" spans="1:4" x14ac:dyDescent="0.25">
      <c r="A100" t="str">
        <v>RANAU</v>
      </c>
      <c r="B100" t="str">
        <v>Ranau</v>
      </c>
      <c r="C100" s="2">
        <v>5.9583300000000001</v>
      </c>
      <c r="D100" s="2">
        <v>116.675</v>
      </c>
    </row>
    <row r="101" spans="1:4" x14ac:dyDescent="0.25">
      <c r="A101" t="str">
        <v>WEST_HILL_1040</v>
      </c>
      <c r="B101" t="str">
        <v>West of Hill 1040</v>
      </c>
      <c r="C101" s="2">
        <v>6.1097200000000003</v>
      </c>
      <c r="D101" s="2">
        <v>116.07693999999999</v>
      </c>
    </row>
    <row r="102" spans="1:4" x14ac:dyDescent="0.25">
      <c r="A102" t="str">
        <v>TJ_DALIT</v>
      </c>
      <c r="B102" t="str">
        <v>Tanjung Dalit</v>
      </c>
      <c r="C102" s="2">
        <v>6.16</v>
      </c>
      <c r="D102" s="2">
        <v>116.14167</v>
      </c>
    </row>
    <row r="103" spans="1:4" x14ac:dyDescent="0.25">
      <c r="A103" t="str">
        <v>KOTA_BELUD</v>
      </c>
      <c r="B103" t="str">
        <v>Kota Belud</v>
      </c>
      <c r="C103" s="2">
        <v>6.3466699999999996</v>
      </c>
      <c r="D103" s="2">
        <v>116.39778</v>
      </c>
    </row>
    <row r="104" spans="1:4" x14ac:dyDescent="0.25">
      <c r="A104" t="str">
        <v>TERENDAK</v>
      </c>
      <c r="B104" t="str">
        <v>Terendak</v>
      </c>
      <c r="C104" s="2">
        <v>2.2922199999999999</v>
      </c>
      <c r="D104" s="2">
        <v>102.09111</v>
      </c>
    </row>
    <row r="105" spans="1:4" x14ac:dyDescent="0.25">
      <c r="A105" t="str">
        <v>REMBIA</v>
      </c>
      <c r="B105" t="str">
        <v>Rembia</v>
      </c>
      <c r="C105" s="2">
        <v>2.2822200000000001</v>
      </c>
      <c r="D105" s="2">
        <v>102.215</v>
      </c>
    </row>
    <row r="106" spans="1:4" x14ac:dyDescent="0.25">
      <c r="A106" t="str">
        <v>TAMPIN</v>
      </c>
      <c r="B106" t="str">
        <v>Tampin</v>
      </c>
      <c r="C106" s="2">
        <v>2.4705599999999999</v>
      </c>
      <c r="D106" s="2">
        <v>102.23</v>
      </c>
    </row>
    <row r="107" spans="1:4" x14ac:dyDescent="0.25">
      <c r="A107" t="str">
        <v>CHIN_CHIN</v>
      </c>
      <c r="B107" t="str">
        <v>Chin Chin</v>
      </c>
      <c r="C107" s="2">
        <v>2.29</v>
      </c>
      <c r="D107" s="2">
        <v>102.47778</v>
      </c>
    </row>
    <row r="108" spans="1:4" x14ac:dyDescent="0.25">
      <c r="A108" t="str">
        <v>BT_BERUANG</v>
      </c>
      <c r="B108" t="str">
        <v>Bt Beruang</v>
      </c>
      <c r="C108" s="2">
        <v>2.2422200000000001</v>
      </c>
      <c r="D108" s="2">
        <v>102.30472</v>
      </c>
    </row>
    <row r="109" spans="1:4" x14ac:dyDescent="0.25">
      <c r="A109" t="str">
        <v>UMBAI</v>
      </c>
      <c r="B109" t="str">
        <v>Umbai</v>
      </c>
      <c r="C109" s="2">
        <v>2.1555599999999999</v>
      </c>
      <c r="D109" s="2">
        <v>102.34444000000001</v>
      </c>
    </row>
    <row r="110" spans="1:4" x14ac:dyDescent="0.25">
      <c r="A110" t="str">
        <v>MALACCA_CITY</v>
      </c>
      <c r="B110" t="str">
        <v>Malacca City</v>
      </c>
      <c r="C110" s="2">
        <v>2.2000000000000002</v>
      </c>
      <c r="D110" s="2">
        <v>102.25</v>
      </c>
    </row>
    <row r="111" spans="1:4" x14ac:dyDescent="0.25">
      <c r="A111" t="str">
        <v>MUAR</v>
      </c>
      <c r="B111" t="str">
        <v>Muar</v>
      </c>
      <c r="C111" s="2">
        <v>2.0616699999999999</v>
      </c>
      <c r="D111" s="2">
        <v>102.565</v>
      </c>
    </row>
    <row r="112" spans="1:4" x14ac:dyDescent="0.25">
      <c r="A112" t="str">
        <v>TANGKAK</v>
      </c>
      <c r="B112" t="str">
        <v>Tangkak</v>
      </c>
      <c r="C112" s="2">
        <v>2.2722199999999999</v>
      </c>
      <c r="D112" s="2">
        <v>102.54443999999999</v>
      </c>
    </row>
    <row r="113" spans="1:4" x14ac:dyDescent="0.25">
      <c r="A113" t="str">
        <v>PAGOH</v>
      </c>
      <c r="B113" t="str">
        <v>Pagoh</v>
      </c>
      <c r="C113" s="2">
        <v>2.15</v>
      </c>
      <c r="D113" s="2">
        <v>102.77</v>
      </c>
    </row>
    <row r="114" spans="1:4" x14ac:dyDescent="0.25">
      <c r="A114" t="str">
        <v>PENARIK</v>
      </c>
      <c r="B114" t="str">
        <v>Penarik</v>
      </c>
      <c r="C114">
        <v>5.5958300000000003</v>
      </c>
      <c r="D114">
        <v>102.82611</v>
      </c>
    </row>
    <row r="115" spans="1:4" x14ac:dyDescent="0.25">
      <c r="A115" t="str">
        <v>BANDAR_PERMAISURI</v>
      </c>
      <c r="B115" t="str">
        <v>Bandar Permaisuri</v>
      </c>
      <c r="C115">
        <v>5.5113899999999996</v>
      </c>
      <c r="D115">
        <v>102.74556</v>
      </c>
    </row>
    <row r="116" spans="1:4" x14ac:dyDescent="0.25">
      <c r="A116" t="str">
        <v>KG_MERANG</v>
      </c>
      <c r="B116" t="str">
        <v>Kampung Merang</v>
      </c>
      <c r="C116">
        <v>5.5194400000000003</v>
      </c>
      <c r="D116">
        <v>102.95944</v>
      </c>
    </row>
    <row r="117" spans="1:4" x14ac:dyDescent="0.25">
      <c r="A117" t="str">
        <v>BATU_RAKIT</v>
      </c>
      <c r="B117" t="str">
        <v>Batu Rakit</v>
      </c>
      <c r="C117">
        <v>5.4444400000000002</v>
      </c>
      <c r="D117">
        <v>103.04861</v>
      </c>
    </row>
    <row r="118" spans="1:4" x14ac:dyDescent="0.25">
      <c r="A118" t="str">
        <v>KG_CHENERING</v>
      </c>
      <c r="B118" t="str">
        <v>Kampung Chenering</v>
      </c>
      <c r="C118">
        <v>5.2716700000000003</v>
      </c>
      <c r="D118">
        <v>103.17639</v>
      </c>
    </row>
    <row r="119" spans="1:4" x14ac:dyDescent="0.25">
      <c r="A119" t="str">
        <v>MARANG</v>
      </c>
      <c r="B119" t="str">
        <v>Marang</v>
      </c>
      <c r="C119">
        <v>5.1888899999999998</v>
      </c>
      <c r="D119">
        <v>103.22056000000001</v>
      </c>
    </row>
    <row r="120" spans="1:4" x14ac:dyDescent="0.25">
      <c r="A120" t="str">
        <v>KUALA_BERANG</v>
      </c>
      <c r="B120" t="str">
        <v>Kuala Berang</v>
      </c>
      <c r="C120">
        <v>5.0619399999999999</v>
      </c>
      <c r="D120">
        <v>103.00917</v>
      </c>
    </row>
    <row r="121" spans="1:4" x14ac:dyDescent="0.25">
      <c r="A121" t="str">
        <v>TASIK_KENYIR</v>
      </c>
      <c r="B121" t="str">
        <v>Tasik Kenyir</v>
      </c>
      <c r="C121">
        <v>5.0836100000000002</v>
      </c>
      <c r="D121">
        <v>102.81139</v>
      </c>
    </row>
    <row r="122" spans="1:4" x14ac:dyDescent="0.25">
      <c r="A122" t="str">
        <v>PENERAK</v>
      </c>
      <c r="B122" t="str">
        <v>Penerak</v>
      </c>
      <c r="C122">
        <v>4.9683299999999999</v>
      </c>
      <c r="D122">
        <v>103.32056</v>
      </c>
    </row>
    <row r="123" spans="1:4" x14ac:dyDescent="0.25">
      <c r="A123" t="str">
        <v>NENASI</v>
      </c>
      <c r="B123" t="str">
        <v>Nenasi River Mouth</v>
      </c>
      <c r="C123">
        <v>3.07361</v>
      </c>
      <c r="D123">
        <v>103.43889</v>
      </c>
    </row>
    <row r="124" spans="1:4" x14ac:dyDescent="0.25">
      <c r="A124" t="str">
        <v>PEKAN</v>
      </c>
      <c r="B124" t="str">
        <v>Pekan Bridge</v>
      </c>
      <c r="C124">
        <v>3.50556</v>
      </c>
      <c r="D124">
        <v>103.39111</v>
      </c>
    </row>
    <row r="125" spans="1:4" x14ac:dyDescent="0.25">
      <c r="A125" t="str">
        <v>KUANTAN_TOWN</v>
      </c>
      <c r="B125" t="str">
        <v>Tower 188</v>
      </c>
      <c r="C125">
        <v>3.80389</v>
      </c>
      <c r="D125">
        <v>103.3275</v>
      </c>
    </row>
    <row r="126" spans="1:4" x14ac:dyDescent="0.25">
      <c r="A126" t="str">
        <v>TJ_GELANG</v>
      </c>
      <c r="B126" t="str">
        <v>Juantan Port</v>
      </c>
      <c r="C126">
        <v>3.98333</v>
      </c>
      <c r="D126">
        <v>103.41667</v>
      </c>
    </row>
    <row r="127" spans="1:4" x14ac:dyDescent="0.25">
      <c r="A127" t="str">
        <v>CHUKAI</v>
      </c>
      <c r="B127" t="str">
        <v>Kuala Kemaman</v>
      </c>
      <c r="C127">
        <v>4.23611</v>
      </c>
      <c r="D127">
        <v>103.44861</v>
      </c>
    </row>
    <row r="128" spans="1:4" x14ac:dyDescent="0.25">
      <c r="A128" t="str">
        <v>MARAN</v>
      </c>
      <c r="B128" t="str">
        <v>Highway Y-Junction</v>
      </c>
      <c r="C128">
        <v>3.5811099999999998</v>
      </c>
      <c r="D128">
        <v>102.76528</v>
      </c>
    </row>
    <row r="129" spans="1:4" x14ac:dyDescent="0.25">
      <c r="A129" t="str">
        <v>GAMBANG</v>
      </c>
      <c r="B129" t="str">
        <v>IIUM Gambang Complex</v>
      </c>
      <c r="C129">
        <v>3.7233299999999998</v>
      </c>
      <c r="D129">
        <v>103.05861</v>
      </c>
    </row>
    <row r="130" spans="1:4" x14ac:dyDescent="0.25">
      <c r="A130" t="str">
        <v>LEPAR</v>
      </c>
      <c r="B130" t="str">
        <v>Lepar Bridge</v>
      </c>
      <c r="C130">
        <v>3.4916700000000001</v>
      </c>
      <c r="D130">
        <v>103.09556000000001</v>
      </c>
    </row>
    <row r="131" spans="1:4" x14ac:dyDescent="0.25">
      <c r="A131" t="str">
        <v>MUADZAM</v>
      </c>
      <c r="B131" t="str">
        <v>4-junction Flyover Kuantan-Segaman Highway</v>
      </c>
      <c r="C131">
        <v>3.0722200000000002</v>
      </c>
      <c r="D131">
        <v>103.07</v>
      </c>
    </row>
    <row r="132" spans="1:4" x14ac:dyDescent="0.25">
      <c r="A132" t="str">
        <v>SG_LEMBING</v>
      </c>
      <c r="B132" t="str">
        <v>Football Field Sg Lembing</v>
      </c>
      <c r="C132">
        <v>3.9152800000000001</v>
      </c>
      <c r="D132">
        <v>103.03389</v>
      </c>
    </row>
    <row r="133" spans="1:4" x14ac:dyDescent="0.25">
      <c r="A133" t="str">
        <v>LUNDU</v>
      </c>
      <c r="B133" t="str">
        <v>Lundu</v>
      </c>
      <c r="C133">
        <v>1.6775</v>
      </c>
      <c r="D133">
        <v>109.85361</v>
      </c>
    </row>
    <row r="134" spans="1:4" x14ac:dyDescent="0.25">
      <c r="A134" t="str">
        <v>KG_RAMBUNGAN</v>
      </c>
      <c r="B134" t="str">
        <v>Kampung Rambungan</v>
      </c>
      <c r="C134">
        <v>1.69194</v>
      </c>
      <c r="D134">
        <v>110.12472</v>
      </c>
    </row>
    <row r="135" spans="1:4" x14ac:dyDescent="0.25">
      <c r="A135" t="str">
        <v>KG_STINGGANG</v>
      </c>
      <c r="B135" t="str">
        <v>Kampung Stinggang</v>
      </c>
      <c r="C135">
        <v>1.48139</v>
      </c>
      <c r="D135">
        <v>110.03833</v>
      </c>
    </row>
    <row r="136" spans="1:4" x14ac:dyDescent="0.25">
      <c r="A136" t="str">
        <v>MUARA_TEBAS</v>
      </c>
      <c r="B136" t="str">
        <v>Muara Tebas</v>
      </c>
      <c r="C136">
        <v>1.6411100000000001</v>
      </c>
      <c r="D136">
        <v>110.48139</v>
      </c>
    </row>
    <row r="137" spans="1:4" x14ac:dyDescent="0.25">
      <c r="A137" t="str">
        <v>ABM_SEMERA</v>
      </c>
      <c r="B137" t="str">
        <v>Abeam Semera</v>
      </c>
      <c r="C137">
        <v>1.5522199999999999</v>
      </c>
      <c r="D137">
        <v>110.67028000000001</v>
      </c>
    </row>
    <row r="138" spans="1:4" x14ac:dyDescent="0.25">
      <c r="A138" t="str">
        <v>TEBEDU</v>
      </c>
      <c r="B138" t="str">
        <v>Tebedu</v>
      </c>
      <c r="C138">
        <v>1.01667</v>
      </c>
      <c r="D138">
        <v>110.3575</v>
      </c>
    </row>
    <row r="139" spans="1:4" x14ac:dyDescent="0.25">
      <c r="A139" t="str">
        <v>SERIAN</v>
      </c>
      <c r="B139" t="str">
        <v>Serian</v>
      </c>
      <c r="C139">
        <v>1.1697200000000001</v>
      </c>
      <c r="D139">
        <v>110.56722000000001</v>
      </c>
    </row>
    <row r="140" spans="1:4" x14ac:dyDescent="0.25">
      <c r="A140" t="str">
        <v>SIMUNJAN</v>
      </c>
      <c r="B140" t="str">
        <v>Simunjan</v>
      </c>
      <c r="C140">
        <v>1.3911100000000001</v>
      </c>
      <c r="D140">
        <v>110.74944000000001</v>
      </c>
    </row>
    <row r="141" spans="1:4" x14ac:dyDescent="0.25">
      <c r="A141" t="str">
        <v>KG_TRISO</v>
      </c>
      <c r="B141" t="str">
        <v>Kampung Triso</v>
      </c>
      <c r="C141">
        <v>1.52722</v>
      </c>
      <c r="D141">
        <v>111.00360999999999</v>
      </c>
    </row>
    <row r="142" spans="1:4" x14ac:dyDescent="0.25">
      <c r="A142" t="str">
        <v>KG_KUAP</v>
      </c>
      <c r="B142" t="str">
        <v>Kampung Kuap</v>
      </c>
      <c r="C142">
        <v>1.4075</v>
      </c>
      <c r="D142">
        <v>110.36333</v>
      </c>
    </row>
    <row r="143" spans="1:4" x14ac:dyDescent="0.25">
      <c r="A143" t="str">
        <v>BT_SIOL</v>
      </c>
      <c r="B143" t="str">
        <v>Bukit Siol</v>
      </c>
      <c r="C143">
        <v>1.5788899999999999</v>
      </c>
      <c r="D143">
        <v>110.35361</v>
      </c>
    </row>
    <row r="144" spans="1:4" x14ac:dyDescent="0.25">
      <c r="A144" t="str">
        <v>ABM_NARUB</v>
      </c>
      <c r="B144" t="str">
        <v>Abeam Narub</v>
      </c>
      <c r="C144">
        <v>2.6433300000000002</v>
      </c>
      <c r="D144">
        <v>112.07666999999999</v>
      </c>
    </row>
    <row r="145" spans="1:4" x14ac:dyDescent="0.25">
      <c r="A145" t="str">
        <v>NANGA_TAMIN</v>
      </c>
      <c r="B145" t="str">
        <v>Nanga Tamin</v>
      </c>
      <c r="C145">
        <v>2.5083299999999999</v>
      </c>
      <c r="D145">
        <v>112.07167</v>
      </c>
    </row>
    <row r="146" spans="1:4" x14ac:dyDescent="0.25">
      <c r="A146" t="str">
        <v>LASSA_RIVER</v>
      </c>
      <c r="B146" t="str">
        <v>Lassa River</v>
      </c>
      <c r="C146">
        <v>2.4683299999999999</v>
      </c>
      <c r="D146">
        <v>111.60833</v>
      </c>
    </row>
    <row r="147" spans="1:4" x14ac:dyDescent="0.25">
      <c r="A147" t="str">
        <v>SELANGAU</v>
      </c>
      <c r="B147" t="str">
        <v>Selangau</v>
      </c>
      <c r="C147">
        <v>2.5233300000000001</v>
      </c>
      <c r="D147">
        <v>112.31833</v>
      </c>
    </row>
    <row r="148" spans="1:4" x14ac:dyDescent="0.25">
      <c r="A148" t="str">
        <v>STAPANG</v>
      </c>
      <c r="B148" t="str">
        <v>Stapang</v>
      </c>
      <c r="C148">
        <v>2.3983300000000001</v>
      </c>
      <c r="D148">
        <v>112.13167</v>
      </c>
    </row>
    <row r="149" spans="1:4" x14ac:dyDescent="0.25">
      <c r="A149" t="str">
        <v>T_RIVER_JUNCTION</v>
      </c>
      <c r="B149" t="str">
        <v>T River Junction</v>
      </c>
      <c r="C149">
        <v>2.29</v>
      </c>
      <c r="D149">
        <v>111.66500000000001</v>
      </c>
    </row>
    <row r="150" spans="1:4" x14ac:dyDescent="0.25">
      <c r="A150" t="str">
        <v>P_DUDONG</v>
      </c>
      <c r="B150" t="str">
        <v>Pulau Dudong</v>
      </c>
      <c r="C150">
        <v>2.19</v>
      </c>
      <c r="D150">
        <v>111.93667000000001</v>
      </c>
    </row>
    <row r="151" spans="1:4" x14ac:dyDescent="0.25">
      <c r="A151" t="str">
        <v>MERUAN</v>
      </c>
      <c r="B151" t="str">
        <v>Meruan</v>
      </c>
      <c r="C151">
        <v>2.3016700000000001</v>
      </c>
      <c r="D151">
        <v>112.05667</v>
      </c>
    </row>
    <row r="152" spans="1:4" x14ac:dyDescent="0.25">
      <c r="A152" t="str">
        <v>LENG</v>
      </c>
      <c r="B152" t="str">
        <v>Leng</v>
      </c>
      <c r="C152">
        <v>2.0649999999999999</v>
      </c>
      <c r="D152">
        <v>111.76667</v>
      </c>
    </row>
    <row r="153" spans="1:4" x14ac:dyDescent="0.25">
      <c r="A153" t="str">
        <v>PAKAN_ROAD</v>
      </c>
      <c r="B153" t="str">
        <v>Pakan Road</v>
      </c>
      <c r="C153">
        <v>1.98167</v>
      </c>
      <c r="D153">
        <v>111.64833</v>
      </c>
    </row>
    <row r="154" spans="1:4" x14ac:dyDescent="0.25">
      <c r="A154" t="str">
        <v>DURIN_TOWN</v>
      </c>
      <c r="B154" t="str">
        <v>Durin Town</v>
      </c>
      <c r="C154">
        <v>2.1333299999999999</v>
      </c>
      <c r="D154">
        <v>111.97</v>
      </c>
    </row>
    <row r="155" spans="1:4" x14ac:dyDescent="0.25">
      <c r="A155" t="str">
        <v>KANOWIT</v>
      </c>
      <c r="B155" t="str">
        <v>Kanowit</v>
      </c>
      <c r="C155">
        <v>2.0950000000000002</v>
      </c>
      <c r="D155">
        <v>112.15167</v>
      </c>
    </row>
    <row r="156" spans="1:4" x14ac:dyDescent="0.25">
      <c r="A156" t="str">
        <v>PENARIK</v>
      </c>
      <c r="B156" t="str">
        <v>Penarik</v>
      </c>
      <c r="C156">
        <v>5.5952799999999998</v>
      </c>
      <c r="D156">
        <v>102.80667</v>
      </c>
    </row>
    <row r="157" spans="1:4" x14ac:dyDescent="0.25">
      <c r="A157" t="str">
        <v>KG_SETIU_LAMA</v>
      </c>
      <c r="B157" t="str">
        <v>Kampung Setiu Lama</v>
      </c>
      <c r="C157">
        <v>5.6813900000000004</v>
      </c>
      <c r="D157">
        <v>102.71278</v>
      </c>
    </row>
    <row r="158" spans="1:4" x14ac:dyDescent="0.25">
      <c r="A158" t="str">
        <v>BETING_LINTANG</v>
      </c>
      <c r="B158" t="str">
        <v>Beting Lintang</v>
      </c>
      <c r="C158">
        <v>5.7374999999999998</v>
      </c>
      <c r="D158">
        <v>102.65083</v>
      </c>
    </row>
    <row r="159" spans="1:4" x14ac:dyDescent="0.25">
      <c r="A159" t="str">
        <v>P_RU</v>
      </c>
      <c r="B159" t="str">
        <v>Pulau Ru</v>
      </c>
      <c r="C159">
        <v>5.8308299999999997</v>
      </c>
      <c r="D159">
        <v>102.60639</v>
      </c>
    </row>
    <row r="160" spans="1:4" x14ac:dyDescent="0.25">
      <c r="A160" t="str">
        <v>KG_BESUT</v>
      </c>
      <c r="B160" t="str">
        <v>Kampung Besut</v>
      </c>
      <c r="C160">
        <v>5.8319400000000003</v>
      </c>
      <c r="D160">
        <v>102.54861</v>
      </c>
    </row>
    <row r="161" spans="1:4" x14ac:dyDescent="0.25">
      <c r="A161" t="str">
        <v>KG_TOK_BALI</v>
      </c>
      <c r="B161" t="str">
        <v>Kampung Tok Bali</v>
      </c>
      <c r="C161">
        <v>5.8844399999999997</v>
      </c>
      <c r="D161">
        <v>102.485</v>
      </c>
    </row>
    <row r="162" spans="1:4" x14ac:dyDescent="0.25">
      <c r="A162" t="str">
        <v>KG_KANDIS</v>
      </c>
      <c r="B162" t="str">
        <v>Kampung Kandis</v>
      </c>
      <c r="C162">
        <v>5.9480599999999999</v>
      </c>
      <c r="D162">
        <v>102.44278</v>
      </c>
    </row>
    <row r="163" spans="1:4" x14ac:dyDescent="0.25">
      <c r="A163" t="str">
        <v>BACHOK</v>
      </c>
      <c r="B163" t="str">
        <v>Bachok</v>
      </c>
      <c r="C163">
        <v>6.0650000000000004</v>
      </c>
      <c r="D163">
        <v>102.39</v>
      </c>
    </row>
    <row r="164" spans="1:4" x14ac:dyDescent="0.25">
      <c r="A164" t="str">
        <v>KOTA_BHARU_TOWN</v>
      </c>
      <c r="B164" t="str">
        <v>Kota Bharu Town</v>
      </c>
      <c r="C164">
        <v>6.1319400000000002</v>
      </c>
      <c r="D164">
        <v>102.23193999999999</v>
      </c>
    </row>
    <row r="165" spans="1:4" x14ac:dyDescent="0.25">
      <c r="A165" t="str">
        <v>KUALA_KRAI</v>
      </c>
      <c r="B165" t="str">
        <v>Kuala Krai</v>
      </c>
      <c r="C165">
        <v>5.59917</v>
      </c>
      <c r="D165">
        <v>102.23667</v>
      </c>
    </row>
    <row r="166" spans="1:4" x14ac:dyDescent="0.25">
      <c r="A166" t="str">
        <v>TANAH_MERAH</v>
      </c>
      <c r="B166" t="str">
        <v>Tanah Merah</v>
      </c>
      <c r="C166">
        <v>5.7747200000000003</v>
      </c>
      <c r="D166">
        <v>102.12667</v>
      </c>
    </row>
    <row r="167" spans="1:4" x14ac:dyDescent="0.25">
      <c r="A167" t="str">
        <v>BT_MELINTANG</v>
      </c>
      <c r="B167" t="str">
        <v>Bukit Melintang</v>
      </c>
      <c r="C167">
        <v>5.70139</v>
      </c>
      <c r="D167">
        <v>101.72360999999999</v>
      </c>
    </row>
    <row r="168" spans="1:4" x14ac:dyDescent="0.25">
      <c r="A168" t="str">
        <v>JELI</v>
      </c>
      <c r="B168" t="str">
        <v>Jeli</v>
      </c>
      <c r="C168">
        <v>5.70139</v>
      </c>
      <c r="D168">
        <v>101.82805999999999</v>
      </c>
    </row>
    <row r="169" spans="1:4" x14ac:dyDescent="0.25">
      <c r="A169" t="str">
        <v>KUAH</v>
      </c>
      <c r="B169" t="str">
        <v>Kuah</v>
      </c>
      <c r="C169">
        <v>6.3203100000000001</v>
      </c>
      <c r="D169">
        <v>99.850210000000004</v>
      </c>
    </row>
    <row r="170" spans="1:4" x14ac:dyDescent="0.25">
      <c r="A170" t="str">
        <v>P_TIMUN</v>
      </c>
      <c r="B170" t="str">
        <v>Pulau Timun</v>
      </c>
      <c r="C170">
        <v>6.3130600000000001</v>
      </c>
      <c r="D170">
        <v>99.914720000000003</v>
      </c>
    </row>
    <row r="171" spans="1:4" x14ac:dyDescent="0.25">
      <c r="A171" t="str">
        <v>ABM_P_TUBA</v>
      </c>
      <c r="B171" t="str">
        <v>Abeam Pulau Tuba</v>
      </c>
      <c r="C171">
        <v>6.26722</v>
      </c>
      <c r="D171">
        <v>99.88861</v>
      </c>
    </row>
    <row r="172" spans="1:4" x14ac:dyDescent="0.25">
      <c r="A172" t="str">
        <v>P_PAYA</v>
      </c>
      <c r="B172" t="str">
        <v>Pulau Paya</v>
      </c>
      <c r="C172">
        <v>6.0615899999999998</v>
      </c>
      <c r="D172">
        <v>100.04028</v>
      </c>
    </row>
    <row r="173" spans="1:4" x14ac:dyDescent="0.25">
      <c r="A173" t="str">
        <v>KUALA_PERLIS</v>
      </c>
      <c r="B173" t="str">
        <v>Kuala Perlis</v>
      </c>
      <c r="C173">
        <v>6.3986099999999997</v>
      </c>
      <c r="D173">
        <v>100.13889</v>
      </c>
    </row>
    <row r="174" spans="1:4" x14ac:dyDescent="0.25">
      <c r="A174" t="str">
        <v>AYER_HITAM</v>
      </c>
      <c r="B174" t="str">
        <v>Ayer Hitam</v>
      </c>
      <c r="C174">
        <v>6.2374999999999998</v>
      </c>
      <c r="D174">
        <v>100.24833</v>
      </c>
    </row>
    <row r="175" spans="1:4" x14ac:dyDescent="0.25">
      <c r="A175" t="str">
        <v>KUALA_KEDAH</v>
      </c>
      <c r="B175" t="str">
        <v>Kuala Kedah</v>
      </c>
      <c r="C175">
        <v>6.1072699999999998</v>
      </c>
      <c r="D175">
        <v>100.29356</v>
      </c>
    </row>
    <row r="176" spans="1:4" x14ac:dyDescent="0.25">
      <c r="A176" t="str">
        <v>SIMPANG_EMPAT</v>
      </c>
      <c r="B176" t="str">
        <v>Simpang Empat</v>
      </c>
      <c r="C176">
        <v>6.0241699999999998</v>
      </c>
      <c r="D176">
        <v>100.38194</v>
      </c>
    </row>
    <row r="177" spans="1:4" x14ac:dyDescent="0.25">
      <c r="A177" t="str">
        <v>KOTA_SARANG_SEMUT</v>
      </c>
      <c r="B177" t="str">
        <v>Kota Sarang Semut</v>
      </c>
      <c r="C177">
        <v>5.9744400000000004</v>
      </c>
      <c r="D177">
        <v>100.39972</v>
      </c>
    </row>
    <row r="178" spans="1:4" x14ac:dyDescent="0.25">
      <c r="A178" t="str">
        <v>BATU_HAMPAR</v>
      </c>
      <c r="B178" t="str">
        <v>Batu Hampar</v>
      </c>
      <c r="C178">
        <v>4.5322199999999997</v>
      </c>
      <c r="D178">
        <v>100.71278</v>
      </c>
    </row>
    <row r="179" spans="1:4" x14ac:dyDescent="0.25">
      <c r="A179" t="str">
        <v>PARIT</v>
      </c>
      <c r="B179" t="str">
        <v>Parit</v>
      </c>
      <c r="C179">
        <v>4.48306</v>
      </c>
      <c r="D179">
        <v>100.91083</v>
      </c>
    </row>
    <row r="180" spans="1:4" x14ac:dyDescent="0.25">
      <c r="A180" t="str">
        <v>BATU_GAJAH</v>
      </c>
      <c r="B180" t="str">
        <v>Batu Gajah</v>
      </c>
      <c r="C180">
        <v>4.4694399999999996</v>
      </c>
      <c r="D180">
        <v>101.04361</v>
      </c>
    </row>
    <row r="181" spans="1:4" x14ac:dyDescent="0.25">
      <c r="A181" t="str">
        <v>GOPENG</v>
      </c>
      <c r="B181" t="str">
        <v>Gopeng</v>
      </c>
      <c r="C181">
        <v>4.46</v>
      </c>
      <c r="D181">
        <v>101.16</v>
      </c>
    </row>
    <row r="182" spans="1:4" x14ac:dyDescent="0.25">
      <c r="A182" t="str">
        <v>KAMPAR</v>
      </c>
      <c r="B182" t="str">
        <v>Kampar</v>
      </c>
      <c r="C182">
        <v>4.2997800000000002</v>
      </c>
      <c r="D182">
        <v>101.15733</v>
      </c>
    </row>
    <row r="183" spans="1:4" x14ac:dyDescent="0.25">
      <c r="A183" t="str">
        <v>TELUK_INTAN</v>
      </c>
      <c r="B183" t="str">
        <v>Teluk Intan</v>
      </c>
      <c r="C183">
        <v>4.0212899999999996</v>
      </c>
      <c r="D183">
        <v>101.02543</v>
      </c>
    </row>
    <row r="184" spans="1:4" x14ac:dyDescent="0.25">
      <c r="A184" t="str">
        <v>BIDOR</v>
      </c>
      <c r="B184" t="str">
        <v>Bidor</v>
      </c>
      <c r="C184">
        <v>4.1133300000000004</v>
      </c>
      <c r="D184">
        <v>101.28583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3482F-544A-447D-978F-FA0EB3A3DF59}">
  <dimension ref="A1:F184"/>
  <sheetViews>
    <sheetView zoomScale="115" zoomScaleNormal="115" workbookViewId="0">
      <selection activeCell="D187" sqref="D187"/>
    </sheetView>
  </sheetViews>
  <sheetFormatPr defaultRowHeight="15" x14ac:dyDescent="0.25"/>
  <cols>
    <col min="1" max="1" width="33.85546875" bestFit="1" customWidth="1"/>
    <col min="2" max="3" width="33.85546875" customWidth="1"/>
    <col min="4" max="4" width="36.28515625" bestFit="1" customWidth="1"/>
    <col min="5" max="6" width="11.85546875" customWidth="1"/>
  </cols>
  <sheetData>
    <row r="1" spans="1:6" x14ac:dyDescent="0.25">
      <c r="A1" s="1" t="s">
        <v>274</v>
      </c>
      <c r="B1" s="1" t="s">
        <v>275</v>
      </c>
      <c r="C1" s="1" t="s">
        <v>277</v>
      </c>
      <c r="D1" s="1" t="s">
        <v>278</v>
      </c>
      <c r="E1" s="1" t="s">
        <v>279</v>
      </c>
      <c r="F1" s="1" t="s">
        <v>280</v>
      </c>
    </row>
    <row r="2" spans="1:6" x14ac:dyDescent="0.25">
      <c r="A2" t="str" cm="1">
        <f t="array" ref="A2:A184">_xlfn.XLOOKUP('Source Data'!F1,'Source Data'!$F$1:$J$1,'Source Data'!$F$2:$J$184)</f>
        <v>SGBESR</v>
      </c>
      <c r="B2" t="s">
        <v>276</v>
      </c>
      <c r="D2" t="str" cm="1">
        <f t="array" ref="D2:D184">_xlfn.XLOOKUP('Source Data'!H1,'Source Data'!$F$1:$J$1,'Source Data'!$F$2:$J$184)</f>
        <v>Sungai Besar Stadium</v>
      </c>
      <c r="E2" s="5" cm="1">
        <f t="array" ref="E2:E184">ROUND(_xlfn.XLOOKUP('Source Data'!I1,'Source Data'!$F$1:$J$1,'Source Data'!$F$2:$J$184), 5)</f>
        <v>3.6744400000000002</v>
      </c>
      <c r="F2" s="5" cm="1">
        <f t="array" ref="F2:F184">ROUND(_xlfn.XLOOKUP('Source Data'!J1,'Source Data'!$F$1:$J$1,'Source Data'!$F$2:$J$184), 5)</f>
        <v>100.98667</v>
      </c>
    </row>
    <row r="3" spans="1:6" x14ac:dyDescent="0.25">
      <c r="A3" t="str">
        <v>KLSELA</v>
      </c>
      <c r="B3" t="s">
        <v>276</v>
      </c>
      <c r="D3" t="str">
        <v>Kuala Selangor Bridge</v>
      </c>
      <c r="E3" s="5">
        <v>3.34056</v>
      </c>
      <c r="F3" s="5">
        <v>101.2525</v>
      </c>
    </row>
    <row r="4" spans="1:6" x14ac:dyDescent="0.25">
      <c r="A4" t="str">
        <v>KAPAR</v>
      </c>
      <c r="B4" t="s">
        <v>276</v>
      </c>
      <c r="D4" t="str">
        <v>Kapar Junction</v>
      </c>
      <c r="E4" s="5">
        <v>3.13611</v>
      </c>
      <c r="F4" s="5">
        <v>101.37582999999999</v>
      </c>
    </row>
    <row r="5" spans="1:6" x14ac:dyDescent="0.25">
      <c r="A5" t="str">
        <v>PTKLNG</v>
      </c>
      <c r="B5" t="s">
        <v>276</v>
      </c>
      <c r="D5" t="str">
        <v>Pulau Indah Bridge</v>
      </c>
      <c r="E5" s="5">
        <v>3.0322200000000001</v>
      </c>
      <c r="F5" s="5">
        <v>101.36111</v>
      </c>
    </row>
    <row r="6" spans="1:6" x14ac:dyDescent="0.25">
      <c r="A6" t="str">
        <v>MORIB</v>
      </c>
      <c r="B6" t="s">
        <v>276</v>
      </c>
      <c r="D6" t="str">
        <v>Golf Course</v>
      </c>
      <c r="E6" s="5">
        <v>2.7433299999999998</v>
      </c>
      <c r="F6" s="5">
        <v>101.44638999999999</v>
      </c>
    </row>
    <row r="7" spans="1:6" x14ac:dyDescent="0.25">
      <c r="A7" t="str">
        <v>TJSEPT</v>
      </c>
      <c r="B7" t="s">
        <v>276</v>
      </c>
      <c r="D7" t="str">
        <v>Jetty Tanjung Sepat</v>
      </c>
      <c r="E7" s="5">
        <v>2.65917</v>
      </c>
      <c r="F7" s="5">
        <v>101.55611</v>
      </c>
    </row>
    <row r="8" spans="1:6" x14ac:dyDescent="0.25">
      <c r="A8" t="str">
        <v>TJTUAN</v>
      </c>
      <c r="B8" t="s">
        <v>276</v>
      </c>
      <c r="D8" t="str">
        <v>Lighthouse</v>
      </c>
      <c r="E8" s="5">
        <v>2.4069400000000001</v>
      </c>
      <c r="F8" s="5">
        <v>101.85194</v>
      </c>
    </row>
    <row r="9" spans="1:6" x14ac:dyDescent="0.25">
      <c r="A9" t="str">
        <v>SLMRVR</v>
      </c>
      <c r="B9" t="s">
        <v>276</v>
      </c>
      <c r="D9" t="str">
        <v>Slim River Hospital</v>
      </c>
      <c r="E9" s="5">
        <v>3.8372199999999999</v>
      </c>
      <c r="F9" s="5">
        <v>101.40416999999999</v>
      </c>
    </row>
    <row r="10" spans="1:6" x14ac:dyDescent="0.25">
      <c r="A10" t="str">
        <v>TJMALM</v>
      </c>
      <c r="B10" t="s">
        <v>276</v>
      </c>
      <c r="D10" t="str">
        <v>Universiti Perguruan Sult</v>
      </c>
      <c r="E10" s="5">
        <v>3.6850000000000001</v>
      </c>
      <c r="F10" s="5">
        <v>101.52388999999999</v>
      </c>
    </row>
    <row r="11" spans="1:6" x14ac:dyDescent="0.25">
      <c r="A11" t="str">
        <v>RAWANG</v>
      </c>
      <c r="B11" t="s">
        <v>276</v>
      </c>
      <c r="D11" t="str">
        <v>Lafarge plant</v>
      </c>
      <c r="E11" s="5">
        <v>3.3091699999999999</v>
      </c>
      <c r="F11" s="5">
        <v>101.57111</v>
      </c>
    </row>
    <row r="12" spans="1:6" x14ac:dyDescent="0.25">
      <c r="A12" t="str">
        <v>BATUCV</v>
      </c>
      <c r="B12" t="s">
        <v>276</v>
      </c>
      <c r="D12" t="str">
        <v>Hindu Temple</v>
      </c>
      <c r="E12" s="5">
        <v>3.2374999999999998</v>
      </c>
      <c r="F12" s="5">
        <v>101.68389000000001</v>
      </c>
    </row>
    <row r="13" spans="1:6" x14ac:dyDescent="0.25">
      <c r="A13" t="str">
        <v>SGBESI</v>
      </c>
      <c r="B13" t="s">
        <v>276</v>
      </c>
      <c r="D13" t="str">
        <v>Smart Toll Plaza</v>
      </c>
      <c r="E13" s="5">
        <v>3.1088900000000002</v>
      </c>
      <c r="F13" s="5">
        <v>101.70222</v>
      </c>
    </row>
    <row r="14" spans="1:6" x14ac:dyDescent="0.25">
      <c r="A14" t="str">
        <v>KAJANG</v>
      </c>
      <c r="B14" t="s">
        <v>276</v>
      </c>
      <c r="D14" t="str">
        <v>Stadium</v>
      </c>
      <c r="E14" s="5">
        <v>2.99444</v>
      </c>
      <c r="F14" s="5">
        <v>101.78694</v>
      </c>
    </row>
    <row r="15" spans="1:6" x14ac:dyDescent="0.25">
      <c r="A15" t="str">
        <v>SERMBN</v>
      </c>
      <c r="B15" t="s">
        <v>276</v>
      </c>
      <c r="D15" t="str">
        <v>Seremban Mosque</v>
      </c>
      <c r="E15" s="5">
        <v>2.72194</v>
      </c>
      <c r="F15" s="5">
        <v>101.94222000000001</v>
      </c>
    </row>
    <row r="16" spans="1:6" x14ac:dyDescent="0.25">
      <c r="A16" t="str">
        <v>BENTNG</v>
      </c>
      <c r="B16" t="s">
        <v>276</v>
      </c>
      <c r="D16" t="str">
        <v>Dataran Bentong</v>
      </c>
      <c r="E16" s="5">
        <v>3.5291700000000001</v>
      </c>
      <c r="F16" s="5">
        <v>101.90472</v>
      </c>
    </row>
    <row r="17" spans="1:6" x14ac:dyDescent="0.25">
      <c r="A17" t="str">
        <v>RANTAU</v>
      </c>
      <c r="B17" t="s">
        <v>276</v>
      </c>
      <c r="D17" t="str">
        <v>TNB Substation</v>
      </c>
      <c r="E17" s="5">
        <v>2.5947200000000001</v>
      </c>
      <c r="F17" s="5">
        <v>101.96194</v>
      </c>
    </row>
    <row r="18" spans="1:6" x14ac:dyDescent="0.25">
      <c r="A18" t="str">
        <v>KLKLWG</v>
      </c>
      <c r="B18" t="s">
        <v>276</v>
      </c>
      <c r="D18" t="str">
        <v>Jelebu District Council</v>
      </c>
      <c r="E18" s="5">
        <v>2.9408300000000001</v>
      </c>
      <c r="F18" s="5">
        <v>102.06944</v>
      </c>
    </row>
    <row r="19" spans="1:6" x14ac:dyDescent="0.25">
      <c r="A19" t="str">
        <v>PETJYA</v>
      </c>
      <c r="B19" t="s">
        <v>276</v>
      </c>
      <c r="D19" t="str">
        <v>Menara TM</v>
      </c>
      <c r="E19" s="5">
        <v>3.1158299999999999</v>
      </c>
      <c r="F19" s="5">
        <v>101.66556</v>
      </c>
    </row>
    <row r="20" spans="1:6" x14ac:dyDescent="0.25">
      <c r="A20" t="str">
        <v>BTLNJN</v>
      </c>
      <c r="B20" t="s">
        <v>276</v>
      </c>
      <c r="D20" t="str">
        <v>Tol Sungai Penchala</v>
      </c>
      <c r="E20" s="5">
        <v>3.1775000000000002</v>
      </c>
      <c r="F20" s="5">
        <v>101.61944</v>
      </c>
    </row>
    <row r="21" spans="1:6" x14ac:dyDescent="0.25">
      <c r="A21" t="str">
        <v>PCKPRD</v>
      </c>
      <c r="B21" t="s">
        <v>276</v>
      </c>
      <c r="D21" t="str">
        <v>Puncak Perdana Interchang</v>
      </c>
      <c r="E21" s="5">
        <v>3.1344400000000001</v>
      </c>
      <c r="F21" s="5">
        <v>101.49611</v>
      </c>
    </row>
    <row r="22" spans="1:6" x14ac:dyDescent="0.25">
      <c r="A22" t="str">
        <v>SHALAM</v>
      </c>
      <c r="B22" t="s">
        <v>276</v>
      </c>
      <c r="D22" t="str">
        <v>Sultan Salahudin Abdul Az</v>
      </c>
      <c r="E22" s="5">
        <v>3.0788899999999999</v>
      </c>
      <c r="F22" s="5">
        <v>101.52056</v>
      </c>
    </row>
    <row r="23" spans="1:6" x14ac:dyDescent="0.25">
      <c r="A23" t="str">
        <v>KUANG</v>
      </c>
      <c r="B23" t="s">
        <v>276</v>
      </c>
      <c r="D23" t="str">
        <v>Guthrie - LATAR Expresswa</v>
      </c>
      <c r="E23" s="5">
        <v>3.2694399999999999</v>
      </c>
      <c r="F23" s="5">
        <v>101.54583</v>
      </c>
    </row>
    <row r="24" spans="1:6" x14ac:dyDescent="0.25">
      <c r="A24" t="str">
        <v>NBGILA</v>
      </c>
      <c r="B24" t="s">
        <v>276</v>
      </c>
      <c r="D24" t="str">
        <v>Met Weather Radar</v>
      </c>
      <c r="E24" s="5">
        <v>3.14472</v>
      </c>
      <c r="F24" s="5">
        <v>101.55861</v>
      </c>
    </row>
    <row r="25" spans="1:6" x14ac:dyDescent="0.25">
      <c r="A25" t="str">
        <v>TITWGS</v>
      </c>
      <c r="B25" t="s">
        <v>276</v>
      </c>
      <c r="D25" t="str">
        <v>Titiwangsa Lake</v>
      </c>
      <c r="E25" s="5">
        <v>3.1775000000000002</v>
      </c>
      <c r="F25" s="5">
        <v>101.70444000000001</v>
      </c>
    </row>
    <row r="26" spans="1:6" x14ac:dyDescent="0.25">
      <c r="A26" t="str">
        <v>SGMBUT</v>
      </c>
      <c r="B26" t="s">
        <v>276</v>
      </c>
      <c r="D26" t="str">
        <v>DUKE Jalan Kuching Interc</v>
      </c>
      <c r="E26" s="5">
        <v>3.1919400000000002</v>
      </c>
      <c r="F26" s="5">
        <v>101.66889</v>
      </c>
    </row>
    <row r="27" spans="1:6" x14ac:dyDescent="0.25">
      <c r="A27" t="str">
        <v>UTMMSQ</v>
      </c>
      <c r="B27" t="s">
        <v>276</v>
      </c>
      <c r="D27" t="str">
        <v>UTM Mosque</v>
      </c>
      <c r="E27" s="5">
        <v>1.5591699999999999</v>
      </c>
      <c r="F27" s="5">
        <v>103.6375</v>
      </c>
    </row>
    <row r="28" spans="1:6" x14ac:dyDescent="0.25">
      <c r="A28" t="str">
        <v>BENUT</v>
      </c>
      <c r="B28" t="s">
        <v>276</v>
      </c>
      <c r="D28" t="str">
        <v>Benut</v>
      </c>
      <c r="E28" s="5">
        <v>1.6441699999999999</v>
      </c>
      <c r="F28" s="5">
        <v>103.25944</v>
      </c>
    </row>
    <row r="29" spans="1:6" x14ac:dyDescent="0.25">
      <c r="A29" t="str">
        <v>KULAI</v>
      </c>
      <c r="B29" t="s">
        <v>276</v>
      </c>
      <c r="D29" t="str">
        <v>Kulai Tol Plaza</v>
      </c>
      <c r="E29" s="5">
        <v>1.65</v>
      </c>
      <c r="F29" s="5">
        <v>103.55500000000001</v>
      </c>
    </row>
    <row r="30" spans="1:6" x14ac:dyDescent="0.25">
      <c r="A30" t="str">
        <v>EJBAIR</v>
      </c>
      <c r="B30" t="s">
        <v>276</v>
      </c>
      <c r="D30" t="str">
        <v>East of Johor Bahru Airfi</v>
      </c>
      <c r="E30" s="5">
        <v>1.6680600000000001</v>
      </c>
      <c r="F30" s="5">
        <v>103.71639</v>
      </c>
    </row>
    <row r="31" spans="1:6" x14ac:dyDescent="0.25">
      <c r="A31" t="str">
        <v>KOTATG</v>
      </c>
      <c r="B31" t="s">
        <v>276</v>
      </c>
      <c r="D31" t="str">
        <v>Kota Tinggi Bridge</v>
      </c>
      <c r="E31" s="5">
        <v>1.72889</v>
      </c>
      <c r="F31" s="5">
        <v>103.90167</v>
      </c>
    </row>
    <row r="32" spans="1:6" x14ac:dyDescent="0.25">
      <c r="A32" t="str">
        <v>ETIRAM</v>
      </c>
      <c r="B32" t="s">
        <v>276</v>
      </c>
      <c r="D32" t="str">
        <v>East of Kg Sg Tiram</v>
      </c>
      <c r="E32" s="5">
        <v>1.5833299999999999</v>
      </c>
      <c r="F32" s="5">
        <v>103.91667</v>
      </c>
    </row>
    <row r="33" spans="1:6" x14ac:dyDescent="0.25">
      <c r="A33" t="str">
        <v>EASTJB</v>
      </c>
      <c r="B33" t="s">
        <v>276</v>
      </c>
      <c r="D33" t="str">
        <v>East of Johor Bahru Town</v>
      </c>
      <c r="E33" s="5">
        <v>1.5038899999999999</v>
      </c>
      <c r="F33" s="5">
        <v>103.86499999999999</v>
      </c>
    </row>
    <row r="34" spans="1:6" x14ac:dyDescent="0.25">
      <c r="A34" t="str">
        <v>FELDA</v>
      </c>
      <c r="B34" t="s">
        <v>276</v>
      </c>
      <c r="D34" t="str">
        <v>Felda Ulu Tebrau</v>
      </c>
      <c r="E34" s="5">
        <v>1.63083</v>
      </c>
      <c r="F34" s="5">
        <v>103.75278</v>
      </c>
    </row>
    <row r="35" spans="1:6" x14ac:dyDescent="0.25">
      <c r="A35" t="str">
        <v>TEBMAL</v>
      </c>
      <c r="B35" t="s">
        <v>276</v>
      </c>
      <c r="D35" t="str">
        <v>Tebrau City Mall</v>
      </c>
      <c r="E35" s="5">
        <v>1.54972</v>
      </c>
      <c r="F35" s="5">
        <v>103.79667000000001</v>
      </c>
    </row>
    <row r="36" spans="1:6" x14ac:dyDescent="0.25">
      <c r="A36" t="str">
        <v>SKGSEM</v>
      </c>
      <c r="B36" t="s">
        <v>276</v>
      </c>
      <c r="D36" t="str">
        <v>South of Kg Semangar</v>
      </c>
      <c r="E36" s="5">
        <v>1.7416700000000001</v>
      </c>
      <c r="F36" s="5">
        <v>103.78333000000001</v>
      </c>
    </row>
    <row r="37" spans="1:6" x14ac:dyDescent="0.25">
      <c r="A37" t="str">
        <v>SDLBSR</v>
      </c>
      <c r="B37" t="s">
        <v>276</v>
      </c>
      <c r="D37" t="str">
        <v>Kampung Sedili Besar</v>
      </c>
      <c r="E37" s="5">
        <v>1.9266700000000001</v>
      </c>
      <c r="F37" s="5">
        <v>104.11611000000001</v>
      </c>
    </row>
    <row r="38" spans="1:6" x14ac:dyDescent="0.25">
      <c r="A38" t="str">
        <v>SPGRNG</v>
      </c>
      <c r="B38" t="s">
        <v>276</v>
      </c>
      <c r="D38" t="str">
        <v>Simpang Renggam Town</v>
      </c>
      <c r="E38" s="5">
        <v>1.82778</v>
      </c>
      <c r="F38" s="5">
        <v>103.30944</v>
      </c>
    </row>
    <row r="39" spans="1:6" x14ac:dyDescent="0.25">
      <c r="A39" t="str">
        <v>AIRHTM</v>
      </c>
      <c r="B39" t="s">
        <v>276</v>
      </c>
      <c r="D39" t="str">
        <v>Air Hitam</v>
      </c>
      <c r="E39" s="5">
        <v>1.9311100000000001</v>
      </c>
      <c r="F39" s="5">
        <v>103.17583</v>
      </c>
    </row>
    <row r="40" spans="1:6" x14ac:dyDescent="0.25">
      <c r="A40" t="str">
        <v>YONGPG</v>
      </c>
      <c r="B40" t="s">
        <v>276</v>
      </c>
      <c r="D40" t="str">
        <v>Yong Peng</v>
      </c>
      <c r="E40" s="5">
        <v>2.01722</v>
      </c>
      <c r="F40" s="5">
        <v>103.06305999999999</v>
      </c>
    </row>
    <row r="41" spans="1:6" x14ac:dyDescent="0.25">
      <c r="A41" t="str">
        <v>PTXRAY</v>
      </c>
      <c r="B41" t="s">
        <v>276</v>
      </c>
      <c r="D41" t="str">
        <v>Point XRay</v>
      </c>
      <c r="E41" s="5">
        <v>1.4750000000000001</v>
      </c>
      <c r="F41" s="5">
        <v>103.83167</v>
      </c>
    </row>
    <row r="42" spans="1:6" x14ac:dyDescent="0.25">
      <c r="A42" t="str">
        <v>TASSAN</v>
      </c>
      <c r="B42" t="s">
        <v>276</v>
      </c>
      <c r="D42" t="str">
        <v>Tass Andrassy</v>
      </c>
      <c r="E42" s="5">
        <v>4.3213900000000001</v>
      </c>
      <c r="F42" s="5">
        <v>118.02139</v>
      </c>
    </row>
    <row r="43" spans="1:6" x14ac:dyDescent="0.25">
      <c r="A43" t="str">
        <v>OLDAIR</v>
      </c>
      <c r="B43" t="s">
        <v>276</v>
      </c>
      <c r="D43" t="str">
        <v>Old Airport</v>
      </c>
      <c r="E43" s="5">
        <v>4.26694</v>
      </c>
      <c r="F43" s="5">
        <v>117.88667</v>
      </c>
    </row>
    <row r="44" spans="1:6" x14ac:dyDescent="0.25">
      <c r="A44" t="str">
        <v>SBTKIS</v>
      </c>
      <c r="B44" t="s">
        <v>276</v>
      </c>
      <c r="D44" t="str">
        <v>Sebatik Island</v>
      </c>
      <c r="E44" s="5">
        <v>4.2230600000000003</v>
      </c>
      <c r="F44" s="5">
        <v>117.78055999999999</v>
      </c>
    </row>
    <row r="45" spans="1:6" x14ac:dyDescent="0.25">
      <c r="A45" t="str">
        <v>KLBKN</v>
      </c>
      <c r="B45" t="s">
        <v>276</v>
      </c>
      <c r="D45" t="str">
        <v>Kalabakan</v>
      </c>
      <c r="E45" s="5">
        <v>4.3988899999999997</v>
      </c>
      <c r="F45" s="5">
        <v>117.495</v>
      </c>
    </row>
    <row r="46" spans="1:6" x14ac:dyDescent="0.25">
      <c r="A46" t="str">
        <v>BALUNG</v>
      </c>
      <c r="B46" t="s">
        <v>276</v>
      </c>
      <c r="D46" t="str">
        <v>Balung</v>
      </c>
      <c r="E46" s="5">
        <v>4.3644400000000001</v>
      </c>
      <c r="F46" s="5">
        <v>118.12778</v>
      </c>
    </row>
    <row r="47" spans="1:6" x14ac:dyDescent="0.25">
      <c r="A47" t="str">
        <v>KWAHLL</v>
      </c>
      <c r="B47" t="s">
        <v>276</v>
      </c>
      <c r="D47" t="str">
        <v>Kawa Hill</v>
      </c>
      <c r="E47" s="5">
        <v>4.3938899999999999</v>
      </c>
      <c r="F47" s="5">
        <v>118.08694</v>
      </c>
    </row>
    <row r="48" spans="1:6" x14ac:dyDescent="0.25">
      <c r="A48" t="str">
        <v>MTPYRM</v>
      </c>
      <c r="B48" t="s">
        <v>276</v>
      </c>
      <c r="D48" t="str">
        <v>Mt Pyramid</v>
      </c>
      <c r="E48" s="5">
        <v>4.4733299999999998</v>
      </c>
      <c r="F48" s="5">
        <v>118.06917</v>
      </c>
    </row>
    <row r="49" spans="1:6" x14ac:dyDescent="0.25">
      <c r="A49" t="str">
        <v>BTRNG</v>
      </c>
      <c r="B49" t="s">
        <v>276</v>
      </c>
      <c r="D49" t="str">
        <v>Baturong</v>
      </c>
      <c r="E49" s="5">
        <v>4.6994400000000001</v>
      </c>
      <c r="F49" s="5">
        <v>118.0025</v>
      </c>
    </row>
    <row r="50" spans="1:6" x14ac:dyDescent="0.25">
      <c r="A50" t="str">
        <v>DANUM</v>
      </c>
      <c r="B50" t="s">
        <v>276</v>
      </c>
      <c r="D50" t="str">
        <v>Danum</v>
      </c>
      <c r="E50" s="5">
        <v>4.8519399999999999</v>
      </c>
      <c r="F50" s="5">
        <v>117.78639</v>
      </c>
    </row>
    <row r="51" spans="1:6" x14ac:dyDescent="0.25">
      <c r="A51" t="str">
        <v>JCT49K</v>
      </c>
      <c r="B51" t="s">
        <v>276</v>
      </c>
      <c r="D51" t="str">
        <v>Junction (49KM)</v>
      </c>
      <c r="E51" s="5">
        <v>4.4266699999999997</v>
      </c>
      <c r="F51" s="5">
        <v>118.17833</v>
      </c>
    </row>
    <row r="52" spans="1:6" x14ac:dyDescent="0.25">
      <c r="A52" t="str">
        <v>KGAMAN</v>
      </c>
      <c r="B52" t="s">
        <v>276</v>
      </c>
      <c r="D52" t="str">
        <v>Kampung Aman</v>
      </c>
      <c r="E52" s="5">
        <v>4.6036099999999998</v>
      </c>
      <c r="F52" s="5">
        <v>118.18971999999999</v>
      </c>
    </row>
    <row r="53" spans="1:6" x14ac:dyDescent="0.25">
      <c r="A53" t="str">
        <v>TJBATI</v>
      </c>
      <c r="B53" t="s">
        <v>276</v>
      </c>
      <c r="D53" t="str">
        <v>Tanjung Batai</v>
      </c>
      <c r="E53" s="5">
        <v>4.8386100000000001</v>
      </c>
      <c r="F53" s="5">
        <v>118.16777999999999</v>
      </c>
    </row>
    <row r="54" spans="1:6" x14ac:dyDescent="0.25">
      <c r="A54" t="str">
        <v>SDLHLL</v>
      </c>
      <c r="B54" t="s">
        <v>276</v>
      </c>
      <c r="D54" t="str">
        <v>Saddle Hill</v>
      </c>
      <c r="E54" s="5">
        <v>4.2988900000000001</v>
      </c>
      <c r="F54" s="5">
        <v>118.18556</v>
      </c>
    </row>
    <row r="55" spans="1:6" x14ac:dyDescent="0.25">
      <c r="A55" t="str">
        <v>NAGOS</v>
      </c>
      <c r="B55" t="s">
        <v>276</v>
      </c>
      <c r="D55" t="str">
        <v>Nagos</v>
      </c>
      <c r="E55" s="5">
        <v>4.3477800000000002</v>
      </c>
      <c r="F55" s="5">
        <v>118.39306000000001</v>
      </c>
    </row>
    <row r="56" spans="1:6" x14ac:dyDescent="0.25">
      <c r="A56" t="str">
        <v>SMPRNA</v>
      </c>
      <c r="B56" t="s">
        <v>276</v>
      </c>
      <c r="D56" t="str">
        <v>Semporna</v>
      </c>
      <c r="E56" s="5">
        <v>4.4497200000000001</v>
      </c>
      <c r="F56" s="5">
        <v>118.59639</v>
      </c>
    </row>
    <row r="57" spans="1:6" x14ac:dyDescent="0.25">
      <c r="A57" t="str">
        <v>GAYAIS</v>
      </c>
      <c r="B57" t="s">
        <v>276</v>
      </c>
      <c r="D57" t="str">
        <v>Gaya Island</v>
      </c>
      <c r="E57" s="5">
        <v>4.6222200000000004</v>
      </c>
      <c r="F57" s="5">
        <v>118.74028</v>
      </c>
    </row>
    <row r="58" spans="1:6" x14ac:dyDescent="0.25">
      <c r="A58" t="str">
        <v>SPDNIS</v>
      </c>
      <c r="B58" t="s">
        <v>276</v>
      </c>
      <c r="D58" t="str">
        <v>Sipadan Island</v>
      </c>
      <c r="E58" s="5">
        <v>4.1405599999999998</v>
      </c>
      <c r="F58" s="5">
        <v>118.64389</v>
      </c>
    </row>
    <row r="59" spans="1:6" x14ac:dyDescent="0.25">
      <c r="A59" t="str">
        <v>BNDIND</v>
      </c>
      <c r="B59" t="s">
        <v>276</v>
      </c>
      <c r="D59" t="str">
        <v>Bandar Indah (Road Juncti</v>
      </c>
      <c r="E59" s="5">
        <v>5.8558300000000001</v>
      </c>
      <c r="F59" s="5">
        <v>118.07222</v>
      </c>
    </row>
    <row r="60" spans="1:6" x14ac:dyDescent="0.25">
      <c r="A60" t="str">
        <v>KPTBNK</v>
      </c>
      <c r="B60" t="s">
        <v>276</v>
      </c>
      <c r="D60" t="str">
        <v>Kampong Tobanka</v>
      </c>
      <c r="E60" s="5">
        <v>6.0191699999999999</v>
      </c>
      <c r="F60" s="5">
        <v>118.03944</v>
      </c>
    </row>
    <row r="61" spans="1:6" x14ac:dyDescent="0.25">
      <c r="A61" t="str">
        <v>BAIIS</v>
      </c>
      <c r="B61" t="s">
        <v>276</v>
      </c>
      <c r="D61" t="str">
        <v>Bai Island</v>
      </c>
      <c r="E61" s="5">
        <v>5.7752800000000004</v>
      </c>
      <c r="F61" s="5">
        <v>118.10028</v>
      </c>
    </row>
    <row r="62" spans="1:6" x14ac:dyDescent="0.25">
      <c r="A62" t="str">
        <v>TJBDR</v>
      </c>
      <c r="B62" t="s">
        <v>276</v>
      </c>
      <c r="D62" t="str">
        <v>Tanjung Bidadari</v>
      </c>
      <c r="E62" s="5">
        <v>5.8244400000000001</v>
      </c>
      <c r="F62" s="5">
        <v>118.34917</v>
      </c>
    </row>
    <row r="63" spans="1:6" x14ac:dyDescent="0.25">
      <c r="A63" t="str">
        <v>KLKNBB</v>
      </c>
      <c r="B63" t="s">
        <v>276</v>
      </c>
      <c r="D63" t="str">
        <v>Kuala Kinabatangan Besar</v>
      </c>
      <c r="E63" s="5">
        <v>5.6427800000000001</v>
      </c>
      <c r="F63" s="5">
        <v>118.6125</v>
      </c>
    </row>
    <row r="64" spans="1:6" x14ac:dyDescent="0.25">
      <c r="A64" t="str">
        <v>KGBILT</v>
      </c>
      <c r="B64" t="s">
        <v>276</v>
      </c>
      <c r="D64" t="str">
        <v>Kampung Bilit</v>
      </c>
      <c r="E64" s="5">
        <v>5.4974999999999996</v>
      </c>
      <c r="F64" s="5">
        <v>118.20806</v>
      </c>
    </row>
    <row r="65" spans="1:6" x14ac:dyDescent="0.25">
      <c r="A65" t="str">
        <v>SGSEG</v>
      </c>
      <c r="B65" t="s">
        <v>276</v>
      </c>
      <c r="D65" t="str">
        <v>Sungai Seguntor</v>
      </c>
      <c r="E65" s="5">
        <v>5.8066700000000004</v>
      </c>
      <c r="F65" s="5">
        <v>117.99361</v>
      </c>
    </row>
    <row r="66" spans="1:6" x14ac:dyDescent="0.25">
      <c r="A66" t="str">
        <v>KTKNB</v>
      </c>
      <c r="B66" t="s">
        <v>276</v>
      </c>
      <c r="D66" t="str">
        <v>Kota Kinabatangan</v>
      </c>
      <c r="E66" s="5">
        <v>5.5888900000000001</v>
      </c>
      <c r="F66" s="5">
        <v>117.845</v>
      </c>
    </row>
    <row r="67" spans="1:6" x14ac:dyDescent="0.25">
      <c r="A67" t="str">
        <v>KGKLLK</v>
      </c>
      <c r="B67" t="s">
        <v>276</v>
      </c>
      <c r="D67" t="str">
        <v>Kampung Kuala Lokan</v>
      </c>
      <c r="E67" s="5">
        <v>5.4369399999999999</v>
      </c>
      <c r="F67" s="5">
        <v>117.74861</v>
      </c>
    </row>
    <row r="68" spans="1:6" x14ac:dyDescent="0.25">
      <c r="A68" t="str">
        <v>ML32JT</v>
      </c>
      <c r="B68" t="s">
        <v>276</v>
      </c>
      <c r="D68" t="str">
        <v>Mile 32 Rd Junction</v>
      </c>
      <c r="E68" s="5">
        <v>5.7577800000000003</v>
      </c>
      <c r="F68" s="5">
        <v>117.75861</v>
      </c>
    </row>
    <row r="69" spans="1:6" x14ac:dyDescent="0.25">
      <c r="A69" t="str">
        <v>TELPID</v>
      </c>
      <c r="B69" t="s">
        <v>276</v>
      </c>
      <c r="D69" t="str">
        <v>Telupid</v>
      </c>
      <c r="E69" s="5">
        <v>5.6275000000000004</v>
      </c>
      <c r="F69" s="5">
        <v>117.13056</v>
      </c>
    </row>
    <row r="70" spans="1:6" x14ac:dyDescent="0.25">
      <c r="A70" t="str">
        <v>KGGMGL</v>
      </c>
      <c r="B70" t="s">
        <v>276</v>
      </c>
      <c r="D70" t="str">
        <v>Kampung GumGum Laut</v>
      </c>
      <c r="E70" s="5">
        <v>5.9694399999999996</v>
      </c>
      <c r="F70" s="5">
        <v>117.90971999999999</v>
      </c>
    </row>
    <row r="71" spans="1:6" x14ac:dyDescent="0.25">
      <c r="A71" t="str">
        <v>KGSMWG</v>
      </c>
      <c r="B71" t="s">
        <v>276</v>
      </c>
      <c r="D71" t="str">
        <v>Kampung Semawang</v>
      </c>
      <c r="E71" s="5">
        <v>5.9197199999999999</v>
      </c>
      <c r="F71" s="5">
        <v>117.76222</v>
      </c>
    </row>
    <row r="72" spans="1:6" x14ac:dyDescent="0.25">
      <c r="A72" t="str">
        <v>BLURAN</v>
      </c>
      <c r="B72" t="s">
        <v>276</v>
      </c>
      <c r="D72" t="str">
        <v>Beluran</v>
      </c>
      <c r="E72" s="5">
        <v>5.8949999999999996</v>
      </c>
      <c r="F72" s="5">
        <v>117.55694</v>
      </c>
    </row>
    <row r="73" spans="1:6" x14ac:dyDescent="0.25">
      <c r="A73" t="str">
        <v>KNWIIS</v>
      </c>
      <c r="B73" t="s">
        <v>276</v>
      </c>
      <c r="D73" t="str">
        <v>Kenawi Island</v>
      </c>
      <c r="E73" s="5">
        <v>5.9883300000000004</v>
      </c>
      <c r="F73" s="5">
        <v>117.70193999999999</v>
      </c>
    </row>
    <row r="74" spans="1:6" x14ac:dyDescent="0.25">
      <c r="A74" t="str">
        <v>KGSGSG</v>
      </c>
      <c r="B74" t="s">
        <v>276</v>
      </c>
      <c r="D74" t="str">
        <v>Kampung Sungai-Sungai</v>
      </c>
      <c r="E74" s="5">
        <v>6.2508299999999997</v>
      </c>
      <c r="F74" s="5">
        <v>117.35111000000001</v>
      </c>
    </row>
    <row r="75" spans="1:6" x14ac:dyDescent="0.25">
      <c r="A75" t="str">
        <v>KGTRSN</v>
      </c>
      <c r="B75" t="s">
        <v>276</v>
      </c>
      <c r="D75" t="str">
        <v>Kampung Terusan</v>
      </c>
      <c r="E75" s="5">
        <v>6.4258300000000004</v>
      </c>
      <c r="F75" s="5">
        <v>117.68722</v>
      </c>
    </row>
    <row r="76" spans="1:6" x14ac:dyDescent="0.25">
      <c r="A76" t="str">
        <v>SLNGIS</v>
      </c>
      <c r="B76" t="s">
        <v>276</v>
      </c>
      <c r="D76" t="str">
        <v>Selingan Island</v>
      </c>
      <c r="E76" s="5">
        <v>6.1741700000000002</v>
      </c>
      <c r="F76" s="5">
        <v>118.06056</v>
      </c>
    </row>
    <row r="77" spans="1:6" x14ac:dyDescent="0.25">
      <c r="A77" t="str">
        <v>LNKYIS</v>
      </c>
      <c r="B77" t="s">
        <v>276</v>
      </c>
      <c r="D77" t="str">
        <v>Lankayan Island</v>
      </c>
      <c r="E77" s="5">
        <v>6.5</v>
      </c>
      <c r="F77" s="5">
        <v>117.91667</v>
      </c>
    </row>
    <row r="78" spans="1:6" x14ac:dyDescent="0.25">
      <c r="A78" t="str">
        <v>SBRHIS</v>
      </c>
      <c r="B78" t="s">
        <v>276</v>
      </c>
      <c r="D78" t="str">
        <v>South of Berhala Island</v>
      </c>
      <c r="E78" s="5">
        <v>5.8641699999999997</v>
      </c>
      <c r="F78" s="5">
        <v>118.14833</v>
      </c>
    </row>
    <row r="79" spans="1:6" x14ac:dyDescent="0.25">
      <c r="A79" t="str">
        <v>LNGMNS</v>
      </c>
      <c r="B79" t="s">
        <v>276</v>
      </c>
      <c r="D79" t="str">
        <v>Luang Manis</v>
      </c>
      <c r="E79" s="5">
        <v>5.6666699999999999</v>
      </c>
      <c r="F79" s="5">
        <v>117.655</v>
      </c>
    </row>
    <row r="80" spans="1:6" x14ac:dyDescent="0.25">
      <c r="A80" t="str">
        <v>PMGSCH</v>
      </c>
      <c r="B80" t="s">
        <v>276</v>
      </c>
      <c r="D80" t="str">
        <v>Pamaguan Primary School</v>
      </c>
      <c r="E80" s="5">
        <v>5.9574999999999996</v>
      </c>
      <c r="F80" s="5">
        <v>118.06444</v>
      </c>
    </row>
    <row r="81" spans="1:6" x14ac:dyDescent="0.25">
      <c r="A81" t="str">
        <v>PRTWLD</v>
      </c>
      <c r="B81" t="s">
        <v>276</v>
      </c>
      <c r="D81" t="str">
        <v>Port Weld</v>
      </c>
      <c r="E81" s="5">
        <v>4.8380599999999996</v>
      </c>
      <c r="F81" s="5">
        <v>100.62582999999999</v>
      </c>
    </row>
    <row r="82" spans="1:6" x14ac:dyDescent="0.25">
      <c r="A82" t="str">
        <v>TJPDNG</v>
      </c>
      <c r="B82" t="s">
        <v>276</v>
      </c>
      <c r="D82" t="str">
        <v>Tanjung Piandang</v>
      </c>
      <c r="E82" s="5">
        <v>5.0880599999999996</v>
      </c>
      <c r="F82" s="5">
        <v>100.36056000000001</v>
      </c>
    </row>
    <row r="83" spans="1:6" x14ac:dyDescent="0.25">
      <c r="A83" t="str">
        <v>PAMAN</v>
      </c>
      <c r="B83" t="s">
        <v>276</v>
      </c>
      <c r="D83" t="str">
        <v>South of Pulau Aman</v>
      </c>
      <c r="E83" s="5">
        <v>5.25861</v>
      </c>
      <c r="F83" s="5">
        <v>100.38417</v>
      </c>
    </row>
    <row r="84" spans="1:6" x14ac:dyDescent="0.25">
      <c r="A84" t="str">
        <v>KDHPKW</v>
      </c>
      <c r="B84" t="s">
        <v>276</v>
      </c>
      <c r="D84" t="str">
        <v>Kedah Peak West</v>
      </c>
      <c r="E84" s="5">
        <v>5.7436100000000003</v>
      </c>
      <c r="F84" s="5">
        <v>100.35693999999999</v>
      </c>
    </row>
    <row r="85" spans="1:6" x14ac:dyDescent="0.25">
      <c r="A85" t="str">
        <v>KLMUDA</v>
      </c>
      <c r="B85" t="s">
        <v>276</v>
      </c>
      <c r="D85" t="str">
        <v>Kuala Sungai Muda</v>
      </c>
      <c r="E85" s="5">
        <v>5.5774999999999997</v>
      </c>
      <c r="F85" s="5">
        <v>100.33583</v>
      </c>
    </row>
    <row r="86" spans="1:6" x14ac:dyDescent="0.25">
      <c r="A86" t="str">
        <v>GRGTWN</v>
      </c>
      <c r="B86" t="s">
        <v>276</v>
      </c>
      <c r="D86" t="str">
        <v>North of George Town</v>
      </c>
      <c r="E86" s="5">
        <v>5.4647199999999998</v>
      </c>
      <c r="F86" s="5">
        <v>100.30722</v>
      </c>
    </row>
    <row r="87" spans="1:6" x14ac:dyDescent="0.25">
      <c r="A87" t="str">
        <v>PLGAYA</v>
      </c>
      <c r="B87" t="s">
        <v>276</v>
      </c>
      <c r="D87" t="str">
        <v>West of Pulau Gaya</v>
      </c>
      <c r="E87" s="5">
        <v>6.05</v>
      </c>
      <c r="F87" s="5">
        <v>116</v>
      </c>
    </row>
    <row r="88" spans="1:6" x14ac:dyDescent="0.25">
      <c r="A88" t="str">
        <v>PLSULG</v>
      </c>
      <c r="B88" t="s">
        <v>276</v>
      </c>
      <c r="D88" t="str">
        <v>Pulau Sulug</v>
      </c>
      <c r="E88" s="5">
        <v>5.9611099999999997</v>
      </c>
      <c r="F88" s="5">
        <v>115.99167</v>
      </c>
    </row>
    <row r="89" spans="1:6" x14ac:dyDescent="0.25">
      <c r="A89" t="str">
        <v>PLTIGA</v>
      </c>
      <c r="B89" t="s">
        <v>276</v>
      </c>
      <c r="D89" t="str">
        <v>Pulau Tiga</v>
      </c>
      <c r="E89" s="5">
        <v>5.75</v>
      </c>
      <c r="F89" s="5">
        <v>115.65833000000001</v>
      </c>
    </row>
    <row r="90" spans="1:6" x14ac:dyDescent="0.25">
      <c r="A90" t="str">
        <v>KLPNYU</v>
      </c>
      <c r="B90" t="s">
        <v>276</v>
      </c>
      <c r="D90" t="str">
        <v>Kuala Penyu</v>
      </c>
      <c r="E90" s="5">
        <v>5.5666700000000002</v>
      </c>
      <c r="F90" s="5">
        <v>115.6</v>
      </c>
    </row>
    <row r="91" spans="1:6" x14ac:dyDescent="0.25">
      <c r="A91" t="str">
        <v>BNGWN</v>
      </c>
      <c r="B91" t="s">
        <v>276</v>
      </c>
      <c r="D91" t="str">
        <v>Bongawan</v>
      </c>
      <c r="E91" s="5">
        <v>5.5388900000000003</v>
      </c>
      <c r="F91" s="5">
        <v>115.85778000000001</v>
      </c>
    </row>
    <row r="92" spans="1:6" x14ac:dyDescent="0.25">
      <c r="A92" t="str">
        <v>EPAPAR</v>
      </c>
      <c r="B92" t="s">
        <v>276</v>
      </c>
      <c r="D92" t="str">
        <v>East of Papar</v>
      </c>
      <c r="E92" s="5">
        <v>5.7</v>
      </c>
      <c r="F92" s="5">
        <v>116.01667</v>
      </c>
    </row>
    <row r="93" spans="1:6" x14ac:dyDescent="0.25">
      <c r="A93" t="str">
        <v>EKAWNG</v>
      </c>
      <c r="B93" t="s">
        <v>276</v>
      </c>
      <c r="D93" t="str">
        <v>East of Kawang</v>
      </c>
      <c r="E93" s="5">
        <v>5.7666700000000004</v>
      </c>
      <c r="F93" s="5">
        <v>116.05</v>
      </c>
    </row>
    <row r="94" spans="1:6" x14ac:dyDescent="0.25">
      <c r="A94" t="str">
        <v>EKNRTT</v>
      </c>
      <c r="B94" t="s">
        <v>276</v>
      </c>
      <c r="D94" t="str">
        <v>East of Kinarut Town</v>
      </c>
      <c r="E94" s="5">
        <v>5.8183299999999996</v>
      </c>
      <c r="F94" s="5">
        <v>116.07194</v>
      </c>
    </row>
    <row r="95" spans="1:6" x14ac:dyDescent="0.25">
      <c r="A95" t="str">
        <v>KPYAN</v>
      </c>
      <c r="B95" t="s">
        <v>276</v>
      </c>
      <c r="D95" t="str">
        <v>Kepayan</v>
      </c>
      <c r="E95" s="5">
        <v>5.9258300000000004</v>
      </c>
      <c r="F95" s="5">
        <v>116.05833</v>
      </c>
    </row>
    <row r="96" spans="1:6" x14ac:dyDescent="0.25">
      <c r="A96" t="str">
        <v>EINMNT</v>
      </c>
      <c r="B96" t="s">
        <v>276</v>
      </c>
      <c r="D96" t="str">
        <v>East of Inanam Town</v>
      </c>
      <c r="E96" s="5">
        <v>5.9955600000000002</v>
      </c>
      <c r="F96" s="5">
        <v>116.15139000000001</v>
      </c>
    </row>
    <row r="97" spans="1:6" x14ac:dyDescent="0.25">
      <c r="A97" t="str">
        <v>ETLPOK</v>
      </c>
      <c r="B97" t="s">
        <v>276</v>
      </c>
      <c r="D97" t="str">
        <v>East of Telipok</v>
      </c>
      <c r="E97" s="5">
        <v>6.1083299999999996</v>
      </c>
      <c r="F97" s="5">
        <v>116.20833</v>
      </c>
    </row>
    <row r="98" spans="1:6" x14ac:dyDescent="0.25">
      <c r="A98" t="str">
        <v>KGKULU</v>
      </c>
      <c r="B98" t="s">
        <v>276</v>
      </c>
      <c r="D98" t="str">
        <v>Kampung Kiulu</v>
      </c>
      <c r="E98" s="5">
        <v>6.0616700000000003</v>
      </c>
      <c r="F98" s="5">
        <v>116.28306000000001</v>
      </c>
    </row>
    <row r="99" spans="1:6" x14ac:dyDescent="0.25">
      <c r="A99" t="str">
        <v>KGBLBK</v>
      </c>
      <c r="B99" t="s">
        <v>276</v>
      </c>
      <c r="D99" t="str">
        <v>Kampung Balabakan</v>
      </c>
      <c r="E99" s="5">
        <v>6.0250000000000004</v>
      </c>
      <c r="F99" s="5">
        <v>116.45389</v>
      </c>
    </row>
    <row r="100" spans="1:6" x14ac:dyDescent="0.25">
      <c r="A100" t="str">
        <v>RANAU</v>
      </c>
      <c r="B100" t="s">
        <v>276</v>
      </c>
      <c r="D100" t="str">
        <v>Ranau</v>
      </c>
      <c r="E100" s="5">
        <v>5.9583300000000001</v>
      </c>
      <c r="F100" s="5">
        <v>116.675</v>
      </c>
    </row>
    <row r="101" spans="1:6" x14ac:dyDescent="0.25">
      <c r="A101" t="str">
        <v>WH1040</v>
      </c>
      <c r="B101" t="s">
        <v>276</v>
      </c>
      <c r="D101" t="str">
        <v>West of Hill 1040</v>
      </c>
      <c r="E101" s="5">
        <v>6.1097200000000003</v>
      </c>
      <c r="F101" s="5">
        <v>116.07693999999999</v>
      </c>
    </row>
    <row r="102" spans="1:6" x14ac:dyDescent="0.25">
      <c r="A102" t="str">
        <v>TJDLT</v>
      </c>
      <c r="B102" t="s">
        <v>276</v>
      </c>
      <c r="D102" t="str">
        <v>Tanjung Dalit</v>
      </c>
      <c r="E102" s="5">
        <v>6.16</v>
      </c>
      <c r="F102" s="5">
        <v>116.14167</v>
      </c>
    </row>
    <row r="103" spans="1:6" x14ac:dyDescent="0.25">
      <c r="A103" t="str">
        <v>KTBLUD</v>
      </c>
      <c r="B103" t="s">
        <v>276</v>
      </c>
      <c r="D103" t="str">
        <v>Kota Belud</v>
      </c>
      <c r="E103" s="5">
        <v>6.3466699999999996</v>
      </c>
      <c r="F103" s="5">
        <v>116.39778</v>
      </c>
    </row>
    <row r="104" spans="1:6" x14ac:dyDescent="0.25">
      <c r="A104" t="str">
        <v>TRNDAK</v>
      </c>
      <c r="B104" t="s">
        <v>276</v>
      </c>
      <c r="D104" t="str">
        <v>Terendak</v>
      </c>
      <c r="E104" s="5">
        <v>2.2922199999999999</v>
      </c>
      <c r="F104" s="5">
        <v>102.09111</v>
      </c>
    </row>
    <row r="105" spans="1:6" x14ac:dyDescent="0.25">
      <c r="A105" t="str">
        <v>REMBIA</v>
      </c>
      <c r="B105" t="s">
        <v>276</v>
      </c>
      <c r="D105" t="str">
        <v>Rembia</v>
      </c>
      <c r="E105" s="5">
        <v>2.2822200000000001</v>
      </c>
      <c r="F105" s="5">
        <v>102.215</v>
      </c>
    </row>
    <row r="106" spans="1:6" x14ac:dyDescent="0.25">
      <c r="A106" t="str">
        <v>TAMPIN</v>
      </c>
      <c r="B106" t="s">
        <v>276</v>
      </c>
      <c r="D106" t="str">
        <v>Tampin</v>
      </c>
      <c r="E106" s="5">
        <v>2.4705599999999999</v>
      </c>
      <c r="F106" s="5">
        <v>102.23</v>
      </c>
    </row>
    <row r="107" spans="1:6" x14ac:dyDescent="0.25">
      <c r="A107" t="str">
        <v>CHNCHN</v>
      </c>
      <c r="B107" t="s">
        <v>276</v>
      </c>
      <c r="D107" t="str">
        <v>Chin Chin</v>
      </c>
      <c r="E107" s="5">
        <v>2.29</v>
      </c>
      <c r="F107" s="5">
        <v>102.47778</v>
      </c>
    </row>
    <row r="108" spans="1:6" x14ac:dyDescent="0.25">
      <c r="A108" t="str">
        <v>BTBERU</v>
      </c>
      <c r="B108" t="s">
        <v>276</v>
      </c>
      <c r="D108" t="str">
        <v>Bt Beruang</v>
      </c>
      <c r="E108" s="5">
        <v>2.2422200000000001</v>
      </c>
      <c r="F108" s="5">
        <v>102.30472</v>
      </c>
    </row>
    <row r="109" spans="1:6" x14ac:dyDescent="0.25">
      <c r="A109" t="str">
        <v>UMBAI</v>
      </c>
      <c r="B109" t="s">
        <v>276</v>
      </c>
      <c r="D109" t="str">
        <v>Umbai</v>
      </c>
      <c r="E109" s="5">
        <v>2.1555599999999999</v>
      </c>
      <c r="F109" s="5">
        <v>102.34444000000001</v>
      </c>
    </row>
    <row r="110" spans="1:6" x14ac:dyDescent="0.25">
      <c r="A110" t="str">
        <v>MALCTY</v>
      </c>
      <c r="B110" t="s">
        <v>276</v>
      </c>
      <c r="D110" t="str">
        <v>Malacca City</v>
      </c>
      <c r="E110" s="5">
        <v>2.2000000000000002</v>
      </c>
      <c r="F110" s="5">
        <v>102.25</v>
      </c>
    </row>
    <row r="111" spans="1:6" x14ac:dyDescent="0.25">
      <c r="A111" t="str">
        <v>MUAR</v>
      </c>
      <c r="B111" t="s">
        <v>276</v>
      </c>
      <c r="D111" t="str">
        <v>Muar</v>
      </c>
      <c r="E111" s="5">
        <v>2.0616699999999999</v>
      </c>
      <c r="F111" s="5">
        <v>102.565</v>
      </c>
    </row>
    <row r="112" spans="1:6" x14ac:dyDescent="0.25">
      <c r="A112" t="str">
        <v>TANKAK</v>
      </c>
      <c r="B112" t="s">
        <v>276</v>
      </c>
      <c r="D112" t="str">
        <v>Tangkak</v>
      </c>
      <c r="E112" s="5">
        <v>2.2722199999999999</v>
      </c>
      <c r="F112" s="5">
        <v>102.54443999999999</v>
      </c>
    </row>
    <row r="113" spans="1:6" x14ac:dyDescent="0.25">
      <c r="A113" t="str">
        <v>PAGOH</v>
      </c>
      <c r="B113" t="s">
        <v>276</v>
      </c>
      <c r="D113" t="str">
        <v>Pagoh</v>
      </c>
      <c r="E113" s="5">
        <v>2.15</v>
      </c>
      <c r="F113" s="5">
        <v>102.77</v>
      </c>
    </row>
    <row r="114" spans="1:6" x14ac:dyDescent="0.25">
      <c r="A114" t="str">
        <v>PENRIK</v>
      </c>
      <c r="B114" t="s">
        <v>276</v>
      </c>
      <c r="D114" t="str">
        <v>Penarik</v>
      </c>
      <c r="E114" s="5">
        <v>5.5958300000000003</v>
      </c>
      <c r="F114" s="5">
        <v>102.82611</v>
      </c>
    </row>
    <row r="115" spans="1:6" x14ac:dyDescent="0.25">
      <c r="A115" t="str">
        <v>BDRPER</v>
      </c>
      <c r="B115" t="s">
        <v>276</v>
      </c>
      <c r="D115" t="str">
        <v>Bandar Permaisuri</v>
      </c>
      <c r="E115" s="5">
        <v>5.5113899999999996</v>
      </c>
      <c r="F115" s="5">
        <v>102.74556</v>
      </c>
    </row>
    <row r="116" spans="1:6" x14ac:dyDescent="0.25">
      <c r="A116" t="str">
        <v>KGMRNG</v>
      </c>
      <c r="B116" t="s">
        <v>276</v>
      </c>
      <c r="D116" t="str">
        <v>Kampung Merang</v>
      </c>
      <c r="E116" s="5">
        <v>5.5194400000000003</v>
      </c>
      <c r="F116" s="5">
        <v>102.95944</v>
      </c>
    </row>
    <row r="117" spans="1:6" x14ac:dyDescent="0.25">
      <c r="A117" t="str">
        <v>BATURK</v>
      </c>
      <c r="B117" t="s">
        <v>276</v>
      </c>
      <c r="D117" t="str">
        <v>Batu Rakit</v>
      </c>
      <c r="E117" s="5">
        <v>5.4444400000000002</v>
      </c>
      <c r="F117" s="5">
        <v>103.04861</v>
      </c>
    </row>
    <row r="118" spans="1:6" x14ac:dyDescent="0.25">
      <c r="A118" t="str">
        <v>PGCNRG</v>
      </c>
      <c r="B118" t="s">
        <v>276</v>
      </c>
      <c r="D118" t="str">
        <v>Kampung Chenering</v>
      </c>
      <c r="E118" s="5">
        <v>5.2716700000000003</v>
      </c>
      <c r="F118" s="5">
        <v>103.17639</v>
      </c>
    </row>
    <row r="119" spans="1:6" x14ac:dyDescent="0.25">
      <c r="A119" t="str">
        <v>MARANG</v>
      </c>
      <c r="B119" t="s">
        <v>276</v>
      </c>
      <c r="D119" t="str">
        <v>Marang</v>
      </c>
      <c r="E119" s="5">
        <v>5.1888899999999998</v>
      </c>
      <c r="F119" s="5">
        <v>103.22056000000001</v>
      </c>
    </row>
    <row r="120" spans="1:6" x14ac:dyDescent="0.25">
      <c r="A120" t="str">
        <v>KLBRNG</v>
      </c>
      <c r="B120" t="s">
        <v>276</v>
      </c>
      <c r="D120" t="str">
        <v>Kuala Berang</v>
      </c>
      <c r="E120" s="5">
        <v>5.0619399999999999</v>
      </c>
      <c r="F120" s="5">
        <v>103.00917</v>
      </c>
    </row>
    <row r="121" spans="1:6" x14ac:dyDescent="0.25">
      <c r="A121" t="str">
        <v>TSKKEN</v>
      </c>
      <c r="B121" t="s">
        <v>276</v>
      </c>
      <c r="D121" t="str">
        <v>Tasik Kenyir</v>
      </c>
      <c r="E121" s="5">
        <v>5.0836100000000002</v>
      </c>
      <c r="F121" s="5">
        <v>102.81139</v>
      </c>
    </row>
    <row r="122" spans="1:6" x14ac:dyDescent="0.25">
      <c r="A122" t="str">
        <v>PENERK</v>
      </c>
      <c r="B122" t="s">
        <v>276</v>
      </c>
      <c r="D122" t="str">
        <v>Penerak</v>
      </c>
      <c r="E122" s="5">
        <v>4.9683299999999999</v>
      </c>
      <c r="F122" s="5">
        <v>103.32056</v>
      </c>
    </row>
    <row r="123" spans="1:6" x14ac:dyDescent="0.25">
      <c r="A123" t="str">
        <v>NENASI</v>
      </c>
      <c r="B123" t="s">
        <v>276</v>
      </c>
      <c r="D123" t="str">
        <v>Nenasi River Mouth</v>
      </c>
      <c r="E123" s="5">
        <v>3.07361</v>
      </c>
      <c r="F123" s="5">
        <v>103.43889</v>
      </c>
    </row>
    <row r="124" spans="1:6" x14ac:dyDescent="0.25">
      <c r="A124" t="str">
        <v>PEKAN</v>
      </c>
      <c r="B124" t="s">
        <v>276</v>
      </c>
      <c r="D124" t="str">
        <v>Pekan Bridge</v>
      </c>
      <c r="E124" s="5">
        <v>3.50556</v>
      </c>
      <c r="F124" s="5">
        <v>103.39111</v>
      </c>
    </row>
    <row r="125" spans="1:6" x14ac:dyDescent="0.25">
      <c r="A125" t="str">
        <v>KUANTW</v>
      </c>
      <c r="B125" t="s">
        <v>276</v>
      </c>
      <c r="D125" t="str">
        <v>Tower 188</v>
      </c>
      <c r="E125" s="5">
        <v>3.80389</v>
      </c>
      <c r="F125" s="5">
        <v>103.3275</v>
      </c>
    </row>
    <row r="126" spans="1:6" x14ac:dyDescent="0.25">
      <c r="A126" t="str">
        <v>TJGELG</v>
      </c>
      <c r="B126" t="s">
        <v>276</v>
      </c>
      <c r="D126" t="str">
        <v>Juantan Port</v>
      </c>
      <c r="E126" s="5">
        <v>3.98333</v>
      </c>
      <c r="F126" s="5">
        <v>103.41667</v>
      </c>
    </row>
    <row r="127" spans="1:6" x14ac:dyDescent="0.25">
      <c r="A127" t="str">
        <v>CUKAI</v>
      </c>
      <c r="B127" t="s">
        <v>276</v>
      </c>
      <c r="D127" t="str">
        <v>Kuala Kemaman</v>
      </c>
      <c r="E127" s="5">
        <v>4.23611</v>
      </c>
      <c r="F127" s="5">
        <v>103.44861</v>
      </c>
    </row>
    <row r="128" spans="1:6" x14ac:dyDescent="0.25">
      <c r="A128" t="str">
        <v>MARAN</v>
      </c>
      <c r="B128" t="s">
        <v>276</v>
      </c>
      <c r="D128" t="str">
        <v>Highway Y-Junction</v>
      </c>
      <c r="E128" s="5">
        <v>3.5811099999999998</v>
      </c>
      <c r="F128" s="5">
        <v>102.76528</v>
      </c>
    </row>
    <row r="129" spans="1:6" x14ac:dyDescent="0.25">
      <c r="A129" t="str">
        <v>GAMBNG</v>
      </c>
      <c r="B129" t="s">
        <v>276</v>
      </c>
      <c r="D129" t="str">
        <v>IIUM Gambang Complex</v>
      </c>
      <c r="E129" s="5">
        <v>3.7233299999999998</v>
      </c>
      <c r="F129" s="5">
        <v>103.05861</v>
      </c>
    </row>
    <row r="130" spans="1:6" x14ac:dyDescent="0.25">
      <c r="A130" t="str">
        <v>LEPAR</v>
      </c>
      <c r="B130" t="s">
        <v>276</v>
      </c>
      <c r="D130" t="str">
        <v>Lepar Bridge</v>
      </c>
      <c r="E130" s="5">
        <v>3.4916700000000001</v>
      </c>
      <c r="F130" s="5">
        <v>103.09556000000001</v>
      </c>
    </row>
    <row r="131" spans="1:6" x14ac:dyDescent="0.25">
      <c r="A131" t="str">
        <v>MUADZM</v>
      </c>
      <c r="B131" t="s">
        <v>276</v>
      </c>
      <c r="D131" t="str">
        <v>4-junction Flyover Kuanta</v>
      </c>
      <c r="E131" s="5">
        <v>3.0722200000000002</v>
      </c>
      <c r="F131" s="5">
        <v>103.07</v>
      </c>
    </row>
    <row r="132" spans="1:6" x14ac:dyDescent="0.25">
      <c r="A132" t="str">
        <v>SGLEMB</v>
      </c>
      <c r="B132" t="s">
        <v>276</v>
      </c>
      <c r="D132" t="str">
        <v>Football Field Sg Lembing</v>
      </c>
      <c r="E132" s="5">
        <v>3.9152800000000001</v>
      </c>
      <c r="F132" s="5">
        <v>103.03389</v>
      </c>
    </row>
    <row r="133" spans="1:6" x14ac:dyDescent="0.25">
      <c r="A133" t="str">
        <v>LUNDU</v>
      </c>
      <c r="B133" t="s">
        <v>276</v>
      </c>
      <c r="D133" t="str">
        <v>Lundu</v>
      </c>
      <c r="E133" s="5">
        <v>1.6775</v>
      </c>
      <c r="F133" s="5">
        <v>109.85361</v>
      </c>
    </row>
    <row r="134" spans="1:6" x14ac:dyDescent="0.25">
      <c r="A134" t="str">
        <v>KGRMBG</v>
      </c>
      <c r="B134" t="s">
        <v>276</v>
      </c>
      <c r="D134" t="str">
        <v>Kampung Rambungan</v>
      </c>
      <c r="E134" s="5">
        <v>1.69194</v>
      </c>
      <c r="F134" s="5">
        <v>110.12472</v>
      </c>
    </row>
    <row r="135" spans="1:6" x14ac:dyDescent="0.25">
      <c r="A135" t="str">
        <v>KGSTNG</v>
      </c>
      <c r="B135" t="s">
        <v>276</v>
      </c>
      <c r="D135" t="str">
        <v>Kampung Stinggang</v>
      </c>
      <c r="E135" s="5">
        <v>1.48139</v>
      </c>
      <c r="F135" s="5">
        <v>110.03833</v>
      </c>
    </row>
    <row r="136" spans="1:6" x14ac:dyDescent="0.25">
      <c r="A136" t="str">
        <v>MUARTB</v>
      </c>
      <c r="B136" t="s">
        <v>276</v>
      </c>
      <c r="D136" t="str">
        <v>Muara Tebas</v>
      </c>
      <c r="E136" s="5">
        <v>1.6411100000000001</v>
      </c>
      <c r="F136" s="5">
        <v>110.48139</v>
      </c>
    </row>
    <row r="137" spans="1:6" x14ac:dyDescent="0.25">
      <c r="A137" t="str">
        <v>ABMSEM</v>
      </c>
      <c r="B137" t="s">
        <v>276</v>
      </c>
      <c r="D137" t="str">
        <v>Abeam Semera</v>
      </c>
      <c r="E137" s="5">
        <v>1.5522199999999999</v>
      </c>
      <c r="F137" s="5">
        <v>110.67028000000001</v>
      </c>
    </row>
    <row r="138" spans="1:6" x14ac:dyDescent="0.25">
      <c r="A138" t="str">
        <v>TEBEDU</v>
      </c>
      <c r="B138" t="s">
        <v>276</v>
      </c>
      <c r="D138" t="str">
        <v>Tebedu</v>
      </c>
      <c r="E138" s="5">
        <v>1.01667</v>
      </c>
      <c r="F138" s="5">
        <v>110.3575</v>
      </c>
    </row>
    <row r="139" spans="1:6" x14ac:dyDescent="0.25">
      <c r="A139" t="str">
        <v>SERIAN</v>
      </c>
      <c r="B139" t="s">
        <v>276</v>
      </c>
      <c r="D139" t="str">
        <v>Serian</v>
      </c>
      <c r="E139" s="5">
        <v>1.1697200000000001</v>
      </c>
      <c r="F139" s="5">
        <v>110.56722000000001</v>
      </c>
    </row>
    <row r="140" spans="1:6" x14ac:dyDescent="0.25">
      <c r="A140" t="str">
        <v>SIMUNJ</v>
      </c>
      <c r="B140" t="s">
        <v>276</v>
      </c>
      <c r="D140" t="str">
        <v>Simunjan</v>
      </c>
      <c r="E140" s="5">
        <v>1.3911100000000001</v>
      </c>
      <c r="F140" s="5">
        <v>110.74944000000001</v>
      </c>
    </row>
    <row r="141" spans="1:6" x14ac:dyDescent="0.25">
      <c r="A141" t="str">
        <v>KGTRSO</v>
      </c>
      <c r="B141" t="s">
        <v>276</v>
      </c>
      <c r="D141" t="str">
        <v>Kampung Triso</v>
      </c>
      <c r="E141" s="5">
        <v>1.52722</v>
      </c>
      <c r="F141" s="5">
        <v>111.00360999999999</v>
      </c>
    </row>
    <row r="142" spans="1:6" x14ac:dyDescent="0.25">
      <c r="A142" t="str">
        <v>KGKUAP</v>
      </c>
      <c r="B142" t="s">
        <v>276</v>
      </c>
      <c r="D142" t="str">
        <v>Kampung Kuap</v>
      </c>
      <c r="E142" s="5">
        <v>1.4075</v>
      </c>
      <c r="F142" s="5">
        <v>110.36333</v>
      </c>
    </row>
    <row r="143" spans="1:6" x14ac:dyDescent="0.25">
      <c r="A143" t="str">
        <v>BTSIOL</v>
      </c>
      <c r="B143" t="s">
        <v>276</v>
      </c>
      <c r="D143" t="str">
        <v>Bukit Siol</v>
      </c>
      <c r="E143" s="5">
        <v>1.5788899999999999</v>
      </c>
      <c r="F143" s="5">
        <v>110.35361</v>
      </c>
    </row>
    <row r="144" spans="1:6" x14ac:dyDescent="0.25">
      <c r="A144" t="str">
        <v>ABMNRB</v>
      </c>
      <c r="B144" t="s">
        <v>276</v>
      </c>
      <c r="D144" t="str">
        <v>Abeam Narub</v>
      </c>
      <c r="E144" s="5">
        <v>2.6433300000000002</v>
      </c>
      <c r="F144" s="5">
        <v>112.07666999999999</v>
      </c>
    </row>
    <row r="145" spans="1:6" x14ac:dyDescent="0.25">
      <c r="A145" t="str">
        <v>NGATMN</v>
      </c>
      <c r="B145" t="s">
        <v>276</v>
      </c>
      <c r="D145" t="str">
        <v>Nanga Tamin</v>
      </c>
      <c r="E145" s="5">
        <v>2.5083299999999999</v>
      </c>
      <c r="F145" s="5">
        <v>112.07167</v>
      </c>
    </row>
    <row r="146" spans="1:6" x14ac:dyDescent="0.25">
      <c r="A146" t="str">
        <v>LASSAR</v>
      </c>
      <c r="B146" t="s">
        <v>276</v>
      </c>
      <c r="D146" t="str">
        <v>Lassa River</v>
      </c>
      <c r="E146" s="5">
        <v>2.4683299999999999</v>
      </c>
      <c r="F146" s="5">
        <v>111.60833</v>
      </c>
    </row>
    <row r="147" spans="1:6" x14ac:dyDescent="0.25">
      <c r="A147" t="str">
        <v>SLNGAU</v>
      </c>
      <c r="B147" t="s">
        <v>276</v>
      </c>
      <c r="D147" t="str">
        <v>Selangau</v>
      </c>
      <c r="E147" s="5">
        <v>2.5233300000000001</v>
      </c>
      <c r="F147" s="5">
        <v>112.31833</v>
      </c>
    </row>
    <row r="148" spans="1:6" x14ac:dyDescent="0.25">
      <c r="A148" t="str">
        <v>STAPNG</v>
      </c>
      <c r="B148" t="s">
        <v>276</v>
      </c>
      <c r="D148" t="str">
        <v>Stapang</v>
      </c>
      <c r="E148" s="5">
        <v>2.3983300000000001</v>
      </c>
      <c r="F148" s="5">
        <v>112.13167</v>
      </c>
    </row>
    <row r="149" spans="1:6" x14ac:dyDescent="0.25">
      <c r="A149" t="str">
        <v>TRVRJT</v>
      </c>
      <c r="B149" t="s">
        <v>276</v>
      </c>
      <c r="D149" t="str">
        <v>T River Junction</v>
      </c>
      <c r="E149" s="5">
        <v>2.29</v>
      </c>
      <c r="F149" s="5">
        <v>111.66500000000001</v>
      </c>
    </row>
    <row r="150" spans="1:6" x14ac:dyDescent="0.25">
      <c r="A150" t="str">
        <v>PDUDNG</v>
      </c>
      <c r="B150" t="s">
        <v>276</v>
      </c>
      <c r="D150" t="str">
        <v>Pulau Dudong</v>
      </c>
      <c r="E150" s="5">
        <v>2.19</v>
      </c>
      <c r="F150" s="5">
        <v>111.93667000000001</v>
      </c>
    </row>
    <row r="151" spans="1:6" x14ac:dyDescent="0.25">
      <c r="A151" t="str">
        <v>MERUAN</v>
      </c>
      <c r="B151" t="s">
        <v>276</v>
      </c>
      <c r="D151" t="str">
        <v>Meruan</v>
      </c>
      <c r="E151" s="5">
        <v>2.3016700000000001</v>
      </c>
      <c r="F151" s="5">
        <v>112.05667</v>
      </c>
    </row>
    <row r="152" spans="1:6" x14ac:dyDescent="0.25">
      <c r="A152" t="str">
        <v>LENG</v>
      </c>
      <c r="B152" t="s">
        <v>276</v>
      </c>
      <c r="D152" t="str">
        <v>Leng</v>
      </c>
      <c r="E152" s="5">
        <v>2.0649999999999999</v>
      </c>
      <c r="F152" s="5">
        <v>111.76667</v>
      </c>
    </row>
    <row r="153" spans="1:6" x14ac:dyDescent="0.25">
      <c r="A153" t="str">
        <v>PAKAN</v>
      </c>
      <c r="B153" t="s">
        <v>276</v>
      </c>
      <c r="D153" t="str">
        <v>Pakan Road</v>
      </c>
      <c r="E153" s="5">
        <v>1.98167</v>
      </c>
      <c r="F153" s="5">
        <v>111.64833</v>
      </c>
    </row>
    <row r="154" spans="1:6" x14ac:dyDescent="0.25">
      <c r="A154" t="str">
        <v>DURIN</v>
      </c>
      <c r="B154" t="s">
        <v>276</v>
      </c>
      <c r="D154" t="str">
        <v>Durin Town</v>
      </c>
      <c r="E154" s="5">
        <v>2.1333299999999999</v>
      </c>
      <c r="F154" s="5">
        <v>111.97</v>
      </c>
    </row>
    <row r="155" spans="1:6" x14ac:dyDescent="0.25">
      <c r="A155" t="str">
        <v>KANOWT</v>
      </c>
      <c r="B155" t="s">
        <v>276</v>
      </c>
      <c r="D155" t="str">
        <v>Kanowit</v>
      </c>
      <c r="E155" s="5">
        <v>2.0950000000000002</v>
      </c>
      <c r="F155" s="5">
        <v>112.15167</v>
      </c>
    </row>
    <row r="156" spans="1:6" x14ac:dyDescent="0.25">
      <c r="A156" t="str">
        <v>PENARK</v>
      </c>
      <c r="B156" t="s">
        <v>276</v>
      </c>
      <c r="D156" t="str">
        <v>Penarik</v>
      </c>
      <c r="E156" s="5">
        <v>5.5952799999999998</v>
      </c>
      <c r="F156" s="5">
        <v>102.80667</v>
      </c>
    </row>
    <row r="157" spans="1:6" x14ac:dyDescent="0.25">
      <c r="A157" t="str">
        <v>KGSETI</v>
      </c>
      <c r="B157" t="s">
        <v>276</v>
      </c>
      <c r="D157" t="str">
        <v>Kampung Setiu Lama</v>
      </c>
      <c r="E157" s="5">
        <v>5.6813900000000004</v>
      </c>
      <c r="F157" s="5">
        <v>102.71278</v>
      </c>
    </row>
    <row r="158" spans="1:6" x14ac:dyDescent="0.25">
      <c r="A158" t="str">
        <v>BETLTG</v>
      </c>
      <c r="B158" t="s">
        <v>276</v>
      </c>
      <c r="D158" t="str">
        <v>Beting Lintang</v>
      </c>
      <c r="E158" s="5">
        <v>5.7374999999999998</v>
      </c>
      <c r="F158" s="5">
        <v>102.65083</v>
      </c>
    </row>
    <row r="159" spans="1:6" x14ac:dyDescent="0.25">
      <c r="A159" t="str">
        <v>PRU</v>
      </c>
      <c r="B159" t="s">
        <v>276</v>
      </c>
      <c r="D159" t="str">
        <v>Pulau Ru</v>
      </c>
      <c r="E159" s="5">
        <v>5.8308299999999997</v>
      </c>
      <c r="F159" s="5">
        <v>102.60639</v>
      </c>
    </row>
    <row r="160" spans="1:6" x14ac:dyDescent="0.25">
      <c r="A160" t="str">
        <v>KGBSUT</v>
      </c>
      <c r="B160" t="s">
        <v>276</v>
      </c>
      <c r="D160" t="str">
        <v>Kampung Besut</v>
      </c>
      <c r="E160" s="5">
        <v>5.8319400000000003</v>
      </c>
      <c r="F160" s="5">
        <v>102.54861</v>
      </c>
    </row>
    <row r="161" spans="1:6" x14ac:dyDescent="0.25">
      <c r="A161" t="str">
        <v>KGTOKB</v>
      </c>
      <c r="B161" t="s">
        <v>276</v>
      </c>
      <c r="D161" t="str">
        <v>Kampung Tok Bali</v>
      </c>
      <c r="E161" s="5">
        <v>5.8844399999999997</v>
      </c>
      <c r="F161" s="5">
        <v>102.485</v>
      </c>
    </row>
    <row r="162" spans="1:6" x14ac:dyDescent="0.25">
      <c r="A162" t="str">
        <v>KGKNGS</v>
      </c>
      <c r="B162" t="s">
        <v>276</v>
      </c>
      <c r="D162" t="str">
        <v>Kampung Kandis</v>
      </c>
      <c r="E162" s="5">
        <v>5.9480599999999999</v>
      </c>
      <c r="F162" s="5">
        <v>102.44278</v>
      </c>
    </row>
    <row r="163" spans="1:6" x14ac:dyDescent="0.25">
      <c r="A163" t="str">
        <v>BACHOK</v>
      </c>
      <c r="B163" t="s">
        <v>276</v>
      </c>
      <c r="D163" t="str">
        <v>Bachok</v>
      </c>
      <c r="E163" s="5">
        <v>6.0650000000000004</v>
      </c>
      <c r="F163" s="5">
        <v>102.39</v>
      </c>
    </row>
    <row r="164" spans="1:6" x14ac:dyDescent="0.25">
      <c r="A164" t="str">
        <v>KTBHTW</v>
      </c>
      <c r="B164" t="s">
        <v>276</v>
      </c>
      <c r="D164" t="str">
        <v>Kota Bharu Town</v>
      </c>
      <c r="E164" s="5">
        <v>6.1319400000000002</v>
      </c>
      <c r="F164" s="5">
        <v>102.23193999999999</v>
      </c>
    </row>
    <row r="165" spans="1:6" x14ac:dyDescent="0.25">
      <c r="A165" t="str">
        <v>KLKRAI</v>
      </c>
      <c r="B165" t="s">
        <v>276</v>
      </c>
      <c r="D165" t="str">
        <v>Kuala Krai</v>
      </c>
      <c r="E165" s="5">
        <v>5.59917</v>
      </c>
      <c r="F165" s="5">
        <v>102.23667</v>
      </c>
    </row>
    <row r="166" spans="1:6" x14ac:dyDescent="0.25">
      <c r="A166" t="str">
        <v>TANAMR</v>
      </c>
      <c r="B166" t="s">
        <v>276</v>
      </c>
      <c r="D166" t="str">
        <v>Tanah Merah</v>
      </c>
      <c r="E166" s="5">
        <v>5.7747200000000003</v>
      </c>
      <c r="F166" s="5">
        <v>102.12667</v>
      </c>
    </row>
    <row r="167" spans="1:6" x14ac:dyDescent="0.25">
      <c r="A167" t="str">
        <v>BTMLTG</v>
      </c>
      <c r="B167" t="s">
        <v>276</v>
      </c>
      <c r="D167" t="str">
        <v>Bukit Melintang</v>
      </c>
      <c r="E167" s="5">
        <v>5.70139</v>
      </c>
      <c r="F167" s="5">
        <v>101.72360999999999</v>
      </c>
    </row>
    <row r="168" spans="1:6" x14ac:dyDescent="0.25">
      <c r="A168" t="str">
        <v>JELI</v>
      </c>
      <c r="B168" t="s">
        <v>276</v>
      </c>
      <c r="D168" t="str">
        <v>Jeli</v>
      </c>
      <c r="E168" s="5">
        <v>5.70139</v>
      </c>
      <c r="F168" s="5">
        <v>101.82805999999999</v>
      </c>
    </row>
    <row r="169" spans="1:6" x14ac:dyDescent="0.25">
      <c r="A169" t="str">
        <v>KUAH</v>
      </c>
      <c r="B169" t="s">
        <v>276</v>
      </c>
      <c r="D169" t="str">
        <v>Kuah</v>
      </c>
      <c r="E169" s="5">
        <v>6.3203100000000001</v>
      </c>
      <c r="F169" s="5">
        <v>99.850210000000004</v>
      </c>
    </row>
    <row r="170" spans="1:6" x14ac:dyDescent="0.25">
      <c r="A170" t="str">
        <v>PTIMUN</v>
      </c>
      <c r="B170" t="s">
        <v>276</v>
      </c>
      <c r="D170" t="str">
        <v>Pulau Timun</v>
      </c>
      <c r="E170" s="5">
        <v>6.3130600000000001</v>
      </c>
      <c r="F170" s="5">
        <v>99.914720000000003</v>
      </c>
    </row>
    <row r="171" spans="1:6" x14ac:dyDescent="0.25">
      <c r="A171" t="str">
        <v>ABMTBA</v>
      </c>
      <c r="B171" t="s">
        <v>276</v>
      </c>
      <c r="D171" t="str">
        <v>Abeam Pulau Tuba</v>
      </c>
      <c r="E171" s="5">
        <v>6.26722</v>
      </c>
      <c r="F171" s="5">
        <v>99.88861</v>
      </c>
    </row>
    <row r="172" spans="1:6" x14ac:dyDescent="0.25">
      <c r="A172" t="str">
        <v>PPAYA</v>
      </c>
      <c r="B172" t="s">
        <v>276</v>
      </c>
      <c r="D172" t="str">
        <v>Pulau Paya</v>
      </c>
      <c r="E172" s="5">
        <v>6.0615899999999998</v>
      </c>
      <c r="F172" s="5">
        <v>100.04028</v>
      </c>
    </row>
    <row r="173" spans="1:6" x14ac:dyDescent="0.25">
      <c r="A173" t="str">
        <v>KLPRLS</v>
      </c>
      <c r="B173" t="s">
        <v>276</v>
      </c>
      <c r="D173" t="str">
        <v>Kuala Perlis</v>
      </c>
      <c r="E173" s="5">
        <v>6.3986099999999997</v>
      </c>
      <c r="F173" s="5">
        <v>100.13889</v>
      </c>
    </row>
    <row r="174" spans="1:6" x14ac:dyDescent="0.25">
      <c r="A174" t="str">
        <v>AYRHTM</v>
      </c>
      <c r="B174" t="s">
        <v>276</v>
      </c>
      <c r="D174" t="str">
        <v>Ayer Hitam</v>
      </c>
      <c r="E174" s="5">
        <v>6.2374999999999998</v>
      </c>
      <c r="F174" s="5">
        <v>100.24833</v>
      </c>
    </row>
    <row r="175" spans="1:6" x14ac:dyDescent="0.25">
      <c r="A175" t="str">
        <v>KLKDAH</v>
      </c>
      <c r="B175" t="s">
        <v>276</v>
      </c>
      <c r="D175" t="str">
        <v>Kuala Kedah</v>
      </c>
      <c r="E175" s="5">
        <v>6.1072699999999998</v>
      </c>
      <c r="F175" s="5">
        <v>100.29356</v>
      </c>
    </row>
    <row r="176" spans="1:6" x14ac:dyDescent="0.25">
      <c r="A176" t="str">
        <v>SPGEMP</v>
      </c>
      <c r="B176" t="s">
        <v>276</v>
      </c>
      <c r="D176" t="str">
        <v>Simpang Empat</v>
      </c>
      <c r="E176" s="5">
        <v>6.0241699999999998</v>
      </c>
      <c r="F176" s="5">
        <v>100.38194</v>
      </c>
    </row>
    <row r="177" spans="1:6" x14ac:dyDescent="0.25">
      <c r="A177" t="str">
        <v>KTSASE</v>
      </c>
      <c r="B177" t="s">
        <v>276</v>
      </c>
      <c r="D177" t="str">
        <v>Kota Sarang Semut</v>
      </c>
      <c r="E177" s="5">
        <v>5.9744400000000004</v>
      </c>
      <c r="F177" s="5">
        <v>100.39972</v>
      </c>
    </row>
    <row r="178" spans="1:6" x14ac:dyDescent="0.25">
      <c r="A178" t="str">
        <v>BTHMPR</v>
      </c>
      <c r="B178" t="s">
        <v>276</v>
      </c>
      <c r="D178" t="str">
        <v>Batu Hampar</v>
      </c>
      <c r="E178">
        <v>4.5322199999999997</v>
      </c>
      <c r="F178">
        <v>100.71278</v>
      </c>
    </row>
    <row r="179" spans="1:6" x14ac:dyDescent="0.25">
      <c r="A179" t="str">
        <v>PARIT</v>
      </c>
      <c r="B179" t="s">
        <v>276</v>
      </c>
      <c r="D179" t="str">
        <v>Parit</v>
      </c>
      <c r="E179">
        <v>4.48306</v>
      </c>
      <c r="F179">
        <v>100.91083</v>
      </c>
    </row>
    <row r="180" spans="1:6" x14ac:dyDescent="0.25">
      <c r="A180" t="str">
        <v>BTGJAH</v>
      </c>
      <c r="B180" t="s">
        <v>276</v>
      </c>
      <c r="D180" t="str">
        <v>Batu Gajah</v>
      </c>
      <c r="E180">
        <v>4.4694399999999996</v>
      </c>
      <c r="F180">
        <v>101.04361</v>
      </c>
    </row>
    <row r="181" spans="1:6" x14ac:dyDescent="0.25">
      <c r="A181" t="str">
        <v>GOPENG</v>
      </c>
      <c r="B181" t="s">
        <v>276</v>
      </c>
      <c r="D181" t="str">
        <v>Gopeng</v>
      </c>
      <c r="E181">
        <v>4.46</v>
      </c>
      <c r="F181">
        <v>101.16</v>
      </c>
    </row>
    <row r="182" spans="1:6" x14ac:dyDescent="0.25">
      <c r="A182" t="str">
        <v>KAMPAR</v>
      </c>
      <c r="B182" t="s">
        <v>276</v>
      </c>
      <c r="D182" t="str">
        <v>Kampar</v>
      </c>
      <c r="E182">
        <v>4.2997800000000002</v>
      </c>
      <c r="F182">
        <v>101.15733</v>
      </c>
    </row>
    <row r="183" spans="1:6" x14ac:dyDescent="0.25">
      <c r="A183" t="str">
        <v>TLINTN</v>
      </c>
      <c r="B183" t="s">
        <v>276</v>
      </c>
      <c r="D183" t="str">
        <v>Teluk Intan</v>
      </c>
      <c r="E183">
        <v>4.0212899999999996</v>
      </c>
      <c r="F183">
        <v>101.02543</v>
      </c>
    </row>
    <row r="184" spans="1:6" x14ac:dyDescent="0.25">
      <c r="A184" t="str">
        <v>BIDOR</v>
      </c>
      <c r="B184" t="s">
        <v>276</v>
      </c>
      <c r="D184" t="str">
        <v>Bidor</v>
      </c>
      <c r="E184">
        <v>4.1133300000000004</v>
      </c>
      <c r="F184">
        <v>101.28583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84"/>
  <sheetViews>
    <sheetView tabSelected="1" zoomScaleNormal="100" workbookViewId="0">
      <selection activeCell="B23" sqref="B23"/>
    </sheetView>
  </sheetViews>
  <sheetFormatPr defaultRowHeight="15" x14ac:dyDescent="0.25"/>
  <cols>
    <col min="1" max="1" width="26.5703125" customWidth="1"/>
    <col min="2" max="2" width="49.5703125" customWidth="1"/>
    <col min="3" max="6" width="26.5703125" customWidth="1"/>
    <col min="7" max="8" width="35.28515625" customWidth="1"/>
    <col min="9" max="10" width="14" customWidth="1"/>
  </cols>
  <sheetData>
    <row r="1" spans="1:10" x14ac:dyDescent="0.25">
      <c r="A1" s="3" t="s">
        <v>219</v>
      </c>
      <c r="B1" s="3" t="s">
        <v>243</v>
      </c>
      <c r="C1" s="3" t="s">
        <v>244</v>
      </c>
      <c r="D1" s="4" t="s">
        <v>281</v>
      </c>
      <c r="E1" s="4" t="s">
        <v>267</v>
      </c>
      <c r="F1" s="4" t="s">
        <v>282</v>
      </c>
      <c r="G1" s="4" t="s">
        <v>222</v>
      </c>
      <c r="H1" s="4" t="s">
        <v>319</v>
      </c>
      <c r="I1" s="4" t="s">
        <v>217</v>
      </c>
      <c r="J1" s="4" t="s">
        <v>218</v>
      </c>
    </row>
    <row r="2" spans="1:10" x14ac:dyDescent="0.25">
      <c r="A2" t="s">
        <v>0</v>
      </c>
      <c r="B2" t="s">
        <v>1</v>
      </c>
      <c r="C2" t="s">
        <v>192</v>
      </c>
      <c r="D2" t="str">
        <f t="shared" ref="D2:D26" si="0">SUBSTITUTE(UPPER(A2), " ", "_")</f>
        <v>SUNGAI_BESAR</v>
      </c>
      <c r="E2" t="str" cm="1">
        <f t="array" ref="E2">_xlfn.REDUCE(D2, _xlfn.SEQUENCE(ROWS(Abbreviations!$A$2:$A$12)), _xlfn.LAMBDA(_xlpm.text,_xlpm.i, SUBSTITUTE(_xlpm.text, INDEX(Abbreviations!$A$2:$A$12, _xlpm.i), INDEX(Abbreviations!$B$2:$B$12, _xlpm.i))))</f>
        <v>SG_BESAR</v>
      </c>
      <c r="F2" t="s">
        <v>330</v>
      </c>
      <c r="G2" t="str">
        <f t="shared" ref="G2:G33" si="1">B2</f>
        <v>Sungai Besar Stadium</v>
      </c>
      <c r="H2" t="str">
        <f>LEFT(G2,25)</f>
        <v>Sungai Besar Stadium</v>
      </c>
      <c r="I2" s="5">
        <f t="shared" ref="I2:I33" si="2">(MID(C2,1,2) + MID(C2,3,2)/60 + MID(C2,5,2)/3600) * IF(MID(C2,7,1)="S",-1,1)</f>
        <v>3.6744444444444442</v>
      </c>
      <c r="J2" s="5">
        <f t="shared" ref="J2:J33" si="3">(MID(C2,9,3) + MID(C2,12,2)/60 + MID(C2,14,2)/3600) * IF(MID(C2,16,1)="W",-1,1)</f>
        <v>100.98666666666666</v>
      </c>
    </row>
    <row r="3" spans="1:10" x14ac:dyDescent="0.25">
      <c r="A3" t="s">
        <v>2</v>
      </c>
      <c r="B3" t="s">
        <v>3</v>
      </c>
      <c r="C3" t="s">
        <v>193</v>
      </c>
      <c r="D3" t="str">
        <f t="shared" si="0"/>
        <v>KUALA_SELANGOR</v>
      </c>
      <c r="E3" t="str" cm="1">
        <f t="array" ref="E3">_xlfn.REDUCE(D3, _xlfn.SEQUENCE(ROWS(Abbreviations!$A$2:$A$12)), _xlfn.LAMBDA(_xlpm.text,_xlpm.i, SUBSTITUTE(_xlpm.text, INDEX(Abbreviations!$A$2:$A$12, _xlpm.i), INDEX(Abbreviations!$B$2:$B$12, _xlpm.i))))</f>
        <v>KUALA_SELANGOR</v>
      </c>
      <c r="F3" t="s">
        <v>331</v>
      </c>
      <c r="G3" t="str">
        <f t="shared" si="1"/>
        <v>Kuala Selangor Bridge</v>
      </c>
      <c r="H3" t="str">
        <f t="shared" ref="H3:H66" si="4">LEFT(G3,25)</f>
        <v>Kuala Selangor Bridge</v>
      </c>
      <c r="I3" s="5">
        <f t="shared" si="2"/>
        <v>3.3405555555555555</v>
      </c>
      <c r="J3" s="5">
        <f t="shared" si="3"/>
        <v>101.2525</v>
      </c>
    </row>
    <row r="4" spans="1:10" x14ac:dyDescent="0.25">
      <c r="A4" t="s">
        <v>4</v>
      </c>
      <c r="B4" t="s">
        <v>5</v>
      </c>
      <c r="C4" t="s">
        <v>194</v>
      </c>
      <c r="D4" t="str">
        <f t="shared" si="0"/>
        <v>KAPAR</v>
      </c>
      <c r="E4" t="str" cm="1">
        <f t="array" ref="E4">_xlfn.REDUCE(D4, _xlfn.SEQUENCE(ROWS(Abbreviations!$A$2:$A$12)), _xlfn.LAMBDA(_xlpm.text,_xlpm.i, SUBSTITUTE(_xlpm.text, INDEX(Abbreviations!$A$2:$A$12, _xlpm.i), INDEX(Abbreviations!$B$2:$B$12, _xlpm.i))))</f>
        <v>KAPAR</v>
      </c>
      <c r="F4" t="s">
        <v>320</v>
      </c>
      <c r="G4" t="str">
        <f t="shared" si="1"/>
        <v>Kapar Junction</v>
      </c>
      <c r="H4" t="str">
        <f t="shared" si="4"/>
        <v>Kapar Junction</v>
      </c>
      <c r="I4" s="5">
        <f t="shared" si="2"/>
        <v>3.1361111111111111</v>
      </c>
      <c r="J4" s="5">
        <f t="shared" si="3"/>
        <v>101.37583333333333</v>
      </c>
    </row>
    <row r="5" spans="1:10" x14ac:dyDescent="0.25">
      <c r="A5" t="s">
        <v>6</v>
      </c>
      <c r="B5" t="s">
        <v>7</v>
      </c>
      <c r="C5" t="s">
        <v>195</v>
      </c>
      <c r="D5" t="str">
        <f t="shared" si="0"/>
        <v>PORT_KLANG</v>
      </c>
      <c r="E5" t="str" cm="1">
        <f t="array" ref="E5">_xlfn.REDUCE(D5, _xlfn.SEQUENCE(ROWS(Abbreviations!$A$2:$A$12)), _xlfn.LAMBDA(_xlpm.text,_xlpm.i, SUBSTITUTE(_xlpm.text, INDEX(Abbreviations!$A$2:$A$12, _xlpm.i), INDEX(Abbreviations!$B$2:$B$12, _xlpm.i))))</f>
        <v>PORT_KLANG</v>
      </c>
      <c r="F5" t="s">
        <v>332</v>
      </c>
      <c r="G5" t="str">
        <f t="shared" si="1"/>
        <v>Pulau Indah Bridge</v>
      </c>
      <c r="H5" t="str">
        <f t="shared" si="4"/>
        <v>Pulau Indah Bridge</v>
      </c>
      <c r="I5" s="5">
        <f t="shared" si="2"/>
        <v>3.0322222222222224</v>
      </c>
      <c r="J5" s="5">
        <f t="shared" si="3"/>
        <v>101.3611111111111</v>
      </c>
    </row>
    <row r="6" spans="1:10" x14ac:dyDescent="0.25">
      <c r="A6" t="s">
        <v>8</v>
      </c>
      <c r="B6" t="s">
        <v>9</v>
      </c>
      <c r="C6" t="s">
        <v>196</v>
      </c>
      <c r="D6" t="str">
        <f t="shared" si="0"/>
        <v>MORIB</v>
      </c>
      <c r="E6" t="str" cm="1">
        <f t="array" ref="E6">_xlfn.REDUCE(D6, _xlfn.SEQUENCE(ROWS(Abbreviations!$A$2:$A$12)), _xlfn.LAMBDA(_xlpm.text,_xlpm.i, SUBSTITUTE(_xlpm.text, INDEX(Abbreviations!$A$2:$A$12, _xlpm.i), INDEX(Abbreviations!$B$2:$B$12, _xlpm.i))))</f>
        <v>MORIB</v>
      </c>
      <c r="F6" t="s">
        <v>321</v>
      </c>
      <c r="G6" t="str">
        <f t="shared" si="1"/>
        <v>Golf Course</v>
      </c>
      <c r="H6" t="str">
        <f t="shared" si="4"/>
        <v>Golf Course</v>
      </c>
      <c r="I6" s="5">
        <f t="shared" si="2"/>
        <v>2.7433333333333332</v>
      </c>
      <c r="J6" s="5">
        <f t="shared" si="3"/>
        <v>101.44638888888889</v>
      </c>
    </row>
    <row r="7" spans="1:10" x14ac:dyDescent="0.25">
      <c r="A7" t="s">
        <v>10</v>
      </c>
      <c r="B7" t="s">
        <v>11</v>
      </c>
      <c r="C7" t="s">
        <v>197</v>
      </c>
      <c r="D7" t="str">
        <f t="shared" si="0"/>
        <v>TANJUNG_SEPAT</v>
      </c>
      <c r="E7" t="str" cm="1">
        <f t="array" ref="E7">_xlfn.REDUCE(D7, _xlfn.SEQUENCE(ROWS(Abbreviations!$A$2:$A$12)), _xlfn.LAMBDA(_xlpm.text,_xlpm.i, SUBSTITUTE(_xlpm.text, INDEX(Abbreviations!$A$2:$A$12, _xlpm.i), INDEX(Abbreviations!$B$2:$B$12, _xlpm.i))))</f>
        <v>TJ_SEPAT</v>
      </c>
      <c r="F7" t="s">
        <v>333</v>
      </c>
      <c r="G7" t="str">
        <f t="shared" si="1"/>
        <v>Jetty Tanjung Sepat</v>
      </c>
      <c r="H7" t="str">
        <f t="shared" si="4"/>
        <v>Jetty Tanjung Sepat</v>
      </c>
      <c r="I7" s="5">
        <f t="shared" si="2"/>
        <v>2.6591666666666667</v>
      </c>
      <c r="J7" s="5">
        <f t="shared" si="3"/>
        <v>101.55611111111111</v>
      </c>
    </row>
    <row r="8" spans="1:10" x14ac:dyDescent="0.25">
      <c r="A8" t="s">
        <v>12</v>
      </c>
      <c r="B8" t="s">
        <v>13</v>
      </c>
      <c r="C8" t="s">
        <v>198</v>
      </c>
      <c r="D8" t="str">
        <f t="shared" si="0"/>
        <v>TANJUNG_TUAN_(CAPE_RACHARDO)</v>
      </c>
      <c r="E8" t="str" cm="1">
        <f t="array" ref="E8">_xlfn.REDUCE(D8, _xlfn.SEQUENCE(ROWS(Abbreviations!$A$2:$A$12)), _xlfn.LAMBDA(_xlpm.text,_xlpm.i, SUBSTITUTE(_xlpm.text, INDEX(Abbreviations!$A$2:$A$12, _xlpm.i), INDEX(Abbreviations!$B$2:$B$12, _xlpm.i))))</f>
        <v>TJ_TUAN_(CAPE_RACHARDO)</v>
      </c>
      <c r="F8" t="s">
        <v>334</v>
      </c>
      <c r="G8" t="str">
        <f t="shared" si="1"/>
        <v>Lighthouse</v>
      </c>
      <c r="H8" t="str">
        <f t="shared" si="4"/>
        <v>Lighthouse</v>
      </c>
      <c r="I8" s="5">
        <f t="shared" si="2"/>
        <v>2.4069444444444446</v>
      </c>
      <c r="J8" s="5">
        <f t="shared" si="3"/>
        <v>101.85194444444444</v>
      </c>
    </row>
    <row r="9" spans="1:10" x14ac:dyDescent="0.25">
      <c r="A9" t="s">
        <v>14</v>
      </c>
      <c r="B9" t="s">
        <v>15</v>
      </c>
      <c r="C9" t="s">
        <v>199</v>
      </c>
      <c r="D9" t="str">
        <f t="shared" si="0"/>
        <v>SLIM_RIVER</v>
      </c>
      <c r="E9" t="str" cm="1">
        <f t="array" ref="E9">_xlfn.REDUCE(D9, _xlfn.SEQUENCE(ROWS(Abbreviations!$A$2:$A$12)), _xlfn.LAMBDA(_xlpm.text,_xlpm.i, SUBSTITUTE(_xlpm.text, INDEX(Abbreviations!$A$2:$A$12, _xlpm.i), INDEX(Abbreviations!$B$2:$B$12, _xlpm.i))))</f>
        <v>SLIM_RIVER</v>
      </c>
      <c r="F9" t="s">
        <v>335</v>
      </c>
      <c r="G9" t="str">
        <f t="shared" si="1"/>
        <v>Slim River Hospital</v>
      </c>
      <c r="H9" t="str">
        <f t="shared" si="4"/>
        <v>Slim River Hospital</v>
      </c>
      <c r="I9" s="5">
        <f t="shared" si="2"/>
        <v>3.8372222222222225</v>
      </c>
      <c r="J9" s="5">
        <f t="shared" si="3"/>
        <v>101.40416666666667</v>
      </c>
    </row>
    <row r="10" spans="1:10" x14ac:dyDescent="0.25">
      <c r="A10" t="s">
        <v>16</v>
      </c>
      <c r="B10" t="s">
        <v>17</v>
      </c>
      <c r="C10" t="s">
        <v>200</v>
      </c>
      <c r="D10" t="str">
        <f t="shared" si="0"/>
        <v>TANJUNG_MALIM</v>
      </c>
      <c r="E10" t="str" cm="1">
        <f t="array" ref="E10">_xlfn.REDUCE(D10, _xlfn.SEQUENCE(ROWS(Abbreviations!$A$2:$A$12)), _xlfn.LAMBDA(_xlpm.text,_xlpm.i, SUBSTITUTE(_xlpm.text, INDEX(Abbreviations!$A$2:$A$12, _xlpm.i), INDEX(Abbreviations!$B$2:$B$12, _xlpm.i))))</f>
        <v>TJ_MALIM</v>
      </c>
      <c r="F10" t="s">
        <v>336</v>
      </c>
      <c r="G10" t="str">
        <f t="shared" si="1"/>
        <v>Universiti Perguruan Sultan Idris (UPSI)</v>
      </c>
      <c r="H10" t="str">
        <f t="shared" si="4"/>
        <v>Universiti Perguruan Sult</v>
      </c>
      <c r="I10" s="5">
        <f t="shared" si="2"/>
        <v>3.6850000000000001</v>
      </c>
      <c r="J10" s="5">
        <f t="shared" si="3"/>
        <v>101.52388888888889</v>
      </c>
    </row>
    <row r="11" spans="1:10" x14ac:dyDescent="0.25">
      <c r="A11" t="s">
        <v>18</v>
      </c>
      <c r="B11" t="s">
        <v>19</v>
      </c>
      <c r="C11" t="s">
        <v>201</v>
      </c>
      <c r="D11" t="str">
        <f t="shared" si="0"/>
        <v>RAWANG</v>
      </c>
      <c r="E11" t="str" cm="1">
        <f t="array" ref="E11">_xlfn.REDUCE(D11, _xlfn.SEQUENCE(ROWS(Abbreviations!$A$2:$A$12)), _xlfn.LAMBDA(_xlpm.text,_xlpm.i, SUBSTITUTE(_xlpm.text, INDEX(Abbreviations!$A$2:$A$12, _xlpm.i), INDEX(Abbreviations!$B$2:$B$12, _xlpm.i))))</f>
        <v>RAWANG</v>
      </c>
      <c r="F11" t="s">
        <v>322</v>
      </c>
      <c r="G11" t="str">
        <f t="shared" si="1"/>
        <v>Lafarge plant</v>
      </c>
      <c r="H11" t="str">
        <f t="shared" si="4"/>
        <v>Lafarge plant</v>
      </c>
      <c r="I11" s="5">
        <f t="shared" si="2"/>
        <v>3.3091666666666666</v>
      </c>
      <c r="J11" s="5">
        <f t="shared" si="3"/>
        <v>101.57111111111111</v>
      </c>
    </row>
    <row r="12" spans="1:10" x14ac:dyDescent="0.25">
      <c r="A12" t="s">
        <v>20</v>
      </c>
      <c r="B12" t="s">
        <v>21</v>
      </c>
      <c r="C12" t="s">
        <v>202</v>
      </c>
      <c r="D12" t="str">
        <f t="shared" si="0"/>
        <v>BATU_CAVES</v>
      </c>
      <c r="E12" t="str" cm="1">
        <f t="array" ref="E12">_xlfn.REDUCE(D12, _xlfn.SEQUENCE(ROWS(Abbreviations!$A$2:$A$12)), _xlfn.LAMBDA(_xlpm.text,_xlpm.i, SUBSTITUTE(_xlpm.text, INDEX(Abbreviations!$A$2:$A$12, _xlpm.i), INDEX(Abbreviations!$B$2:$B$12, _xlpm.i))))</f>
        <v>BATU_CAVES</v>
      </c>
      <c r="F12" t="s">
        <v>337</v>
      </c>
      <c r="G12" t="str">
        <f t="shared" si="1"/>
        <v>Hindu Temple</v>
      </c>
      <c r="H12" t="str">
        <f t="shared" si="4"/>
        <v>Hindu Temple</v>
      </c>
      <c r="I12" s="5">
        <f t="shared" si="2"/>
        <v>3.2375000000000003</v>
      </c>
      <c r="J12" s="5">
        <f t="shared" si="3"/>
        <v>101.68388888888889</v>
      </c>
    </row>
    <row r="13" spans="1:10" x14ac:dyDescent="0.25">
      <c r="A13" t="s">
        <v>22</v>
      </c>
      <c r="B13" t="s">
        <v>23</v>
      </c>
      <c r="C13" t="s">
        <v>203</v>
      </c>
      <c r="D13" t="str">
        <f t="shared" si="0"/>
        <v>SUNGAI_BESI</v>
      </c>
      <c r="E13" t="str" cm="1">
        <f t="array" ref="E13">_xlfn.REDUCE(D13, _xlfn.SEQUENCE(ROWS(Abbreviations!$A$2:$A$12)), _xlfn.LAMBDA(_xlpm.text,_xlpm.i, SUBSTITUTE(_xlpm.text, INDEX(Abbreviations!$A$2:$A$12, _xlpm.i), INDEX(Abbreviations!$B$2:$B$12, _xlpm.i))))</f>
        <v>SG_BESI</v>
      </c>
      <c r="F13" t="s">
        <v>338</v>
      </c>
      <c r="G13" t="str">
        <f t="shared" si="1"/>
        <v>Smart Toll Plaza</v>
      </c>
      <c r="H13" t="str">
        <f t="shared" si="4"/>
        <v>Smart Toll Plaza</v>
      </c>
      <c r="I13" s="5">
        <f t="shared" si="2"/>
        <v>3.108888888888889</v>
      </c>
      <c r="J13" s="5">
        <f t="shared" si="3"/>
        <v>101.70222222222222</v>
      </c>
    </row>
    <row r="14" spans="1:10" x14ac:dyDescent="0.25">
      <c r="A14" t="s">
        <v>24</v>
      </c>
      <c r="B14" t="s">
        <v>25</v>
      </c>
      <c r="C14" t="s">
        <v>204</v>
      </c>
      <c r="D14" t="str">
        <f t="shared" si="0"/>
        <v>KAJANG</v>
      </c>
      <c r="E14" t="str" cm="1">
        <f t="array" ref="E14">_xlfn.REDUCE(D14, _xlfn.SEQUENCE(ROWS(Abbreviations!$A$2:$A$12)), _xlfn.LAMBDA(_xlpm.text,_xlpm.i, SUBSTITUTE(_xlpm.text, INDEX(Abbreviations!$A$2:$A$12, _xlpm.i), INDEX(Abbreviations!$B$2:$B$12, _xlpm.i))))</f>
        <v>KAJANG</v>
      </c>
      <c r="F14" t="s">
        <v>323</v>
      </c>
      <c r="G14" t="str">
        <f t="shared" si="1"/>
        <v>Stadium</v>
      </c>
      <c r="H14" t="str">
        <f t="shared" si="4"/>
        <v>Stadium</v>
      </c>
      <c r="I14" s="5">
        <f t="shared" si="2"/>
        <v>2.9944444444444445</v>
      </c>
      <c r="J14" s="5">
        <f t="shared" si="3"/>
        <v>101.78694444444444</v>
      </c>
    </row>
    <row r="15" spans="1:10" x14ac:dyDescent="0.25">
      <c r="A15" t="s">
        <v>26</v>
      </c>
      <c r="B15" t="s">
        <v>27</v>
      </c>
      <c r="C15" t="s">
        <v>205</v>
      </c>
      <c r="D15" t="str">
        <f t="shared" si="0"/>
        <v>SEREMBAN</v>
      </c>
      <c r="E15" t="str" cm="1">
        <f t="array" ref="E15">_xlfn.REDUCE(D15, _xlfn.SEQUENCE(ROWS(Abbreviations!$A$2:$A$12)), _xlfn.LAMBDA(_xlpm.text,_xlpm.i, SUBSTITUTE(_xlpm.text, INDEX(Abbreviations!$A$2:$A$12, _xlpm.i), INDEX(Abbreviations!$B$2:$B$12, _xlpm.i))))</f>
        <v>SEREMBAN</v>
      </c>
      <c r="F15" t="s">
        <v>339</v>
      </c>
      <c r="G15" t="str">
        <f t="shared" si="1"/>
        <v>Seremban Mosque</v>
      </c>
      <c r="H15" t="str">
        <f t="shared" si="4"/>
        <v>Seremban Mosque</v>
      </c>
      <c r="I15" s="5">
        <f t="shared" si="2"/>
        <v>2.7219444444444445</v>
      </c>
      <c r="J15" s="5">
        <f t="shared" si="3"/>
        <v>101.94222222222223</v>
      </c>
    </row>
    <row r="16" spans="1:10" x14ac:dyDescent="0.25">
      <c r="A16" t="s">
        <v>28</v>
      </c>
      <c r="B16" t="s">
        <v>29</v>
      </c>
      <c r="C16" t="s">
        <v>206</v>
      </c>
      <c r="D16" t="str">
        <f t="shared" si="0"/>
        <v>BENTONG</v>
      </c>
      <c r="E16" t="str" cm="1">
        <f t="array" ref="E16">_xlfn.REDUCE(D16, _xlfn.SEQUENCE(ROWS(Abbreviations!$A$2:$A$12)), _xlfn.LAMBDA(_xlpm.text,_xlpm.i, SUBSTITUTE(_xlpm.text, INDEX(Abbreviations!$A$2:$A$12, _xlpm.i), INDEX(Abbreviations!$B$2:$B$12, _xlpm.i))))</f>
        <v>BENTONG</v>
      </c>
      <c r="F16" t="s">
        <v>340</v>
      </c>
      <c r="G16" t="str">
        <f t="shared" si="1"/>
        <v>Dataran Bentong</v>
      </c>
      <c r="H16" t="str">
        <f t="shared" si="4"/>
        <v>Dataran Bentong</v>
      </c>
      <c r="I16" s="5">
        <f t="shared" si="2"/>
        <v>3.5291666666666668</v>
      </c>
      <c r="J16" s="5">
        <f t="shared" si="3"/>
        <v>101.90472222222223</v>
      </c>
    </row>
    <row r="17" spans="1:10" x14ac:dyDescent="0.25">
      <c r="A17" t="s">
        <v>30</v>
      </c>
      <c r="B17" t="s">
        <v>31</v>
      </c>
      <c r="C17" t="s">
        <v>207</v>
      </c>
      <c r="D17" t="str">
        <f t="shared" si="0"/>
        <v>RANTAU</v>
      </c>
      <c r="E17" t="str" cm="1">
        <f t="array" ref="E17">_xlfn.REDUCE(D17, _xlfn.SEQUENCE(ROWS(Abbreviations!$A$2:$A$12)), _xlfn.LAMBDA(_xlpm.text,_xlpm.i, SUBSTITUTE(_xlpm.text, INDEX(Abbreviations!$A$2:$A$12, _xlpm.i), INDEX(Abbreviations!$B$2:$B$12, _xlpm.i))))</f>
        <v>RANTAU</v>
      </c>
      <c r="F17" t="s">
        <v>324</v>
      </c>
      <c r="G17" t="str">
        <f t="shared" si="1"/>
        <v>TNB Substation</v>
      </c>
      <c r="H17" t="str">
        <f t="shared" si="4"/>
        <v>TNB Substation</v>
      </c>
      <c r="I17" s="5">
        <f t="shared" si="2"/>
        <v>2.5947222222222224</v>
      </c>
      <c r="J17" s="5">
        <f t="shared" si="3"/>
        <v>101.96194444444444</v>
      </c>
    </row>
    <row r="18" spans="1:10" x14ac:dyDescent="0.25">
      <c r="A18" t="s">
        <v>32</v>
      </c>
      <c r="B18" t="s">
        <v>33</v>
      </c>
      <c r="C18" t="s">
        <v>208</v>
      </c>
      <c r="D18" t="str">
        <f t="shared" si="0"/>
        <v>KUALA_KELAWANG</v>
      </c>
      <c r="E18" t="str" cm="1">
        <f t="array" ref="E18">_xlfn.REDUCE(D18, _xlfn.SEQUENCE(ROWS(Abbreviations!$A$2:$A$12)), _xlfn.LAMBDA(_xlpm.text,_xlpm.i, SUBSTITUTE(_xlpm.text, INDEX(Abbreviations!$A$2:$A$12, _xlpm.i), INDEX(Abbreviations!$B$2:$B$12, _xlpm.i))))</f>
        <v>KUALA_KELAWANG</v>
      </c>
      <c r="F18" t="s">
        <v>341</v>
      </c>
      <c r="G18" t="str">
        <f t="shared" si="1"/>
        <v>Jelebu District Council</v>
      </c>
      <c r="H18" t="str">
        <f t="shared" si="4"/>
        <v>Jelebu District Council</v>
      </c>
      <c r="I18" s="5">
        <f t="shared" si="2"/>
        <v>2.9408333333333334</v>
      </c>
      <c r="J18" s="5">
        <f t="shared" si="3"/>
        <v>102.06944444444444</v>
      </c>
    </row>
    <row r="19" spans="1:10" x14ac:dyDescent="0.25">
      <c r="A19" t="s">
        <v>34</v>
      </c>
      <c r="B19" t="s">
        <v>35</v>
      </c>
      <c r="C19" t="s">
        <v>209</v>
      </c>
      <c r="D19" t="str">
        <f t="shared" si="0"/>
        <v>PETALING_JAYA</v>
      </c>
      <c r="E19" t="str" cm="1">
        <f t="array" ref="E19">_xlfn.REDUCE(D19, _xlfn.SEQUENCE(ROWS(Abbreviations!$A$2:$A$12)), _xlfn.LAMBDA(_xlpm.text,_xlpm.i, SUBSTITUTE(_xlpm.text, INDEX(Abbreviations!$A$2:$A$12, _xlpm.i), INDEX(Abbreviations!$B$2:$B$12, _xlpm.i))))</f>
        <v>PETALING_JAYA</v>
      </c>
      <c r="F19" t="s">
        <v>342</v>
      </c>
      <c r="G19" t="str">
        <f t="shared" si="1"/>
        <v>Menara TM</v>
      </c>
      <c r="H19" t="str">
        <f t="shared" si="4"/>
        <v>Menara TM</v>
      </c>
      <c r="I19" s="5">
        <f t="shared" si="2"/>
        <v>3.1158333333333332</v>
      </c>
      <c r="J19" s="5">
        <f t="shared" si="3"/>
        <v>101.66555555555556</v>
      </c>
    </row>
    <row r="20" spans="1:10" x14ac:dyDescent="0.25">
      <c r="A20" t="s">
        <v>36</v>
      </c>
      <c r="B20" t="s">
        <v>37</v>
      </c>
      <c r="C20" t="s">
        <v>210</v>
      </c>
      <c r="D20" t="str">
        <f t="shared" si="0"/>
        <v>BUKIT_LANJAN</v>
      </c>
      <c r="E20" t="str" cm="1">
        <f t="array" ref="E20">_xlfn.REDUCE(D20, _xlfn.SEQUENCE(ROWS(Abbreviations!$A$2:$A$12)), _xlfn.LAMBDA(_xlpm.text,_xlpm.i, SUBSTITUTE(_xlpm.text, INDEX(Abbreviations!$A$2:$A$12, _xlpm.i), INDEX(Abbreviations!$B$2:$B$12, _xlpm.i))))</f>
        <v>BT_LANJAN</v>
      </c>
      <c r="F20" t="s">
        <v>343</v>
      </c>
      <c r="G20" t="str">
        <f t="shared" si="1"/>
        <v>Tol Sungai Penchala</v>
      </c>
      <c r="H20" t="str">
        <f t="shared" si="4"/>
        <v>Tol Sungai Penchala</v>
      </c>
      <c r="I20" s="5">
        <f t="shared" si="2"/>
        <v>3.1774999999999998</v>
      </c>
      <c r="J20" s="5">
        <f t="shared" si="3"/>
        <v>101.61944444444444</v>
      </c>
    </row>
    <row r="21" spans="1:10" x14ac:dyDescent="0.25">
      <c r="A21" t="s">
        <v>38</v>
      </c>
      <c r="B21" t="s">
        <v>39</v>
      </c>
      <c r="C21" t="s">
        <v>211</v>
      </c>
      <c r="D21" t="str">
        <f t="shared" si="0"/>
        <v>PUNCAK_PERDANA</v>
      </c>
      <c r="E21" t="str" cm="1">
        <f t="array" ref="E21">_xlfn.REDUCE(D21, _xlfn.SEQUENCE(ROWS(Abbreviations!$A$2:$A$12)), _xlfn.LAMBDA(_xlpm.text,_xlpm.i, SUBSTITUTE(_xlpm.text, INDEX(Abbreviations!$A$2:$A$12, _xlpm.i), INDEX(Abbreviations!$B$2:$B$12, _xlpm.i))))</f>
        <v>PUNCAK_PERDANA</v>
      </c>
      <c r="F21" t="s">
        <v>344</v>
      </c>
      <c r="G21" t="str">
        <f t="shared" si="1"/>
        <v>Puncak Perdana Interchange</v>
      </c>
      <c r="H21" t="str">
        <f t="shared" si="4"/>
        <v>Puncak Perdana Interchang</v>
      </c>
      <c r="I21" s="5">
        <f t="shared" si="2"/>
        <v>3.1344444444444446</v>
      </c>
      <c r="J21" s="5">
        <f t="shared" si="3"/>
        <v>101.49611111111111</v>
      </c>
    </row>
    <row r="22" spans="1:10" x14ac:dyDescent="0.25">
      <c r="A22" t="s">
        <v>40</v>
      </c>
      <c r="B22" t="s">
        <v>41</v>
      </c>
      <c r="C22" t="s">
        <v>212</v>
      </c>
      <c r="D22" t="str">
        <f t="shared" si="0"/>
        <v>SHAH_ALAM</v>
      </c>
      <c r="E22" t="str" cm="1">
        <f t="array" ref="E22">_xlfn.REDUCE(D22, _xlfn.SEQUENCE(ROWS(Abbreviations!$A$2:$A$12)), _xlfn.LAMBDA(_xlpm.text,_xlpm.i, SUBSTITUTE(_xlpm.text, INDEX(Abbreviations!$A$2:$A$12, _xlpm.i), INDEX(Abbreviations!$B$2:$B$12, _xlpm.i))))</f>
        <v>SHAH_ALAM</v>
      </c>
      <c r="F22" t="s">
        <v>395</v>
      </c>
      <c r="G22" t="str">
        <f t="shared" si="1"/>
        <v>Sultan Salahudin Abdul Aziz Mosque</v>
      </c>
      <c r="H22" t="str">
        <f t="shared" si="4"/>
        <v>Sultan Salahudin Abdul Az</v>
      </c>
      <c r="I22" s="5">
        <f t="shared" si="2"/>
        <v>3.0788888888888892</v>
      </c>
      <c r="J22" s="5">
        <f t="shared" si="3"/>
        <v>101.52055555555556</v>
      </c>
    </row>
    <row r="23" spans="1:10" x14ac:dyDescent="0.25">
      <c r="A23" t="s">
        <v>42</v>
      </c>
      <c r="B23" t="s">
        <v>623</v>
      </c>
      <c r="C23" t="s">
        <v>213</v>
      </c>
      <c r="D23" t="str">
        <f t="shared" si="0"/>
        <v>KUANG</v>
      </c>
      <c r="E23" t="str" cm="1">
        <f t="array" ref="E23">_xlfn.REDUCE(D23, _xlfn.SEQUENCE(ROWS(Abbreviations!$A$2:$A$12)), _xlfn.LAMBDA(_xlpm.text,_xlpm.i, SUBSTITUTE(_xlpm.text, INDEX(Abbreviations!$A$2:$A$12, _xlpm.i), INDEX(Abbreviations!$B$2:$B$12, _xlpm.i))))</f>
        <v>KUANG</v>
      </c>
      <c r="F23" t="s">
        <v>325</v>
      </c>
      <c r="G23" t="str">
        <f t="shared" si="1"/>
        <v>Guthrie - LATAR Expressway Kuang Exit</v>
      </c>
      <c r="H23" t="str">
        <f t="shared" si="4"/>
        <v>Guthrie - LATAR Expresswa</v>
      </c>
      <c r="I23" s="5">
        <f t="shared" si="2"/>
        <v>3.2694444444444444</v>
      </c>
      <c r="J23" s="5">
        <f t="shared" si="3"/>
        <v>101.54583333333333</v>
      </c>
    </row>
    <row r="24" spans="1:10" x14ac:dyDescent="0.25">
      <c r="A24" t="s">
        <v>43</v>
      </c>
      <c r="B24" t="s">
        <v>44</v>
      </c>
      <c r="C24" t="s">
        <v>214</v>
      </c>
      <c r="D24" t="str">
        <f t="shared" si="0"/>
        <v>NIBONG_GILA</v>
      </c>
      <c r="E24" t="str" cm="1">
        <f t="array" ref="E24">_xlfn.REDUCE(D24, _xlfn.SEQUENCE(ROWS(Abbreviations!$A$2:$A$12)), _xlfn.LAMBDA(_xlpm.text,_xlpm.i, SUBSTITUTE(_xlpm.text, INDEX(Abbreviations!$A$2:$A$12, _xlpm.i), INDEX(Abbreviations!$B$2:$B$12, _xlpm.i))))</f>
        <v>NIBONG_GILA</v>
      </c>
      <c r="F24" t="s">
        <v>345</v>
      </c>
      <c r="G24" t="str">
        <f t="shared" si="1"/>
        <v>Met Weather Radar</v>
      </c>
      <c r="H24" t="str">
        <f t="shared" si="4"/>
        <v>Met Weather Radar</v>
      </c>
      <c r="I24" s="5">
        <f t="shared" si="2"/>
        <v>3.1447222222222222</v>
      </c>
      <c r="J24" s="5">
        <f t="shared" si="3"/>
        <v>101.55861111111111</v>
      </c>
    </row>
    <row r="25" spans="1:10" x14ac:dyDescent="0.25">
      <c r="A25" t="s">
        <v>45</v>
      </c>
      <c r="B25" t="s">
        <v>46</v>
      </c>
      <c r="C25" t="s">
        <v>215</v>
      </c>
      <c r="D25" t="str">
        <f t="shared" si="0"/>
        <v>TITIWANGSA</v>
      </c>
      <c r="E25" t="str" cm="1">
        <f t="array" ref="E25">_xlfn.REDUCE(D25, _xlfn.SEQUENCE(ROWS(Abbreviations!$A$2:$A$12)), _xlfn.LAMBDA(_xlpm.text,_xlpm.i, SUBSTITUTE(_xlpm.text, INDEX(Abbreviations!$A$2:$A$12, _xlpm.i), INDEX(Abbreviations!$B$2:$B$12, _xlpm.i))))</f>
        <v>TITIWANGSA</v>
      </c>
      <c r="F25" t="s">
        <v>346</v>
      </c>
      <c r="G25" t="str">
        <f t="shared" si="1"/>
        <v>Titiwangsa Lake</v>
      </c>
      <c r="H25" t="str">
        <f t="shared" si="4"/>
        <v>Titiwangsa Lake</v>
      </c>
      <c r="I25" s="5">
        <f t="shared" si="2"/>
        <v>3.1774999999999998</v>
      </c>
      <c r="J25" s="5">
        <f t="shared" si="3"/>
        <v>101.70444444444445</v>
      </c>
    </row>
    <row r="26" spans="1:10" x14ac:dyDescent="0.25">
      <c r="A26" t="s">
        <v>47</v>
      </c>
      <c r="B26" t="s">
        <v>48</v>
      </c>
      <c r="C26" t="s">
        <v>216</v>
      </c>
      <c r="D26" t="str">
        <f t="shared" si="0"/>
        <v>SEGAMBUT</v>
      </c>
      <c r="E26" t="str" cm="1">
        <f t="array" ref="E26">_xlfn.REDUCE(D26, _xlfn.SEQUENCE(ROWS(Abbreviations!$A$2:$A$12)), _xlfn.LAMBDA(_xlpm.text,_xlpm.i, SUBSTITUTE(_xlpm.text, INDEX(Abbreviations!$A$2:$A$12, _xlpm.i), INDEX(Abbreviations!$B$2:$B$12, _xlpm.i))))</f>
        <v>SEGAMBUT</v>
      </c>
      <c r="F26" t="s">
        <v>347</v>
      </c>
      <c r="G26" t="str">
        <f t="shared" si="1"/>
        <v>DUKE Jalan Kuching Interchange</v>
      </c>
      <c r="H26" t="str">
        <f t="shared" si="4"/>
        <v>DUKE Jalan Kuching Interc</v>
      </c>
      <c r="I26" s="5">
        <f t="shared" si="2"/>
        <v>3.1919444444444443</v>
      </c>
      <c r="J26" s="5">
        <f t="shared" si="3"/>
        <v>101.66888888888889</v>
      </c>
    </row>
    <row r="27" spans="1:10" x14ac:dyDescent="0.25">
      <c r="A27" t="s">
        <v>49</v>
      </c>
      <c r="B27" t="s">
        <v>49</v>
      </c>
      <c r="C27" t="s">
        <v>50</v>
      </c>
      <c r="D27" t="str">
        <f>SUBSTITUTE(UPPER(A27), " ", "_")</f>
        <v>UTM_MOSQUE</v>
      </c>
      <c r="E27" t="str" cm="1">
        <f t="array" ref="E27">_xlfn.REDUCE(D27, _xlfn.SEQUENCE(ROWS(Abbreviations!$A$2:$A$12)), _xlfn.LAMBDA(_xlpm.text,_xlpm.i, SUBSTITUTE(_xlpm.text, INDEX(Abbreviations!$A$2:$A$12, _xlpm.i), INDEX(Abbreviations!$B$2:$B$12, _xlpm.i))))</f>
        <v>UTM_MOSQUE</v>
      </c>
      <c r="F27" t="s">
        <v>297</v>
      </c>
      <c r="G27" t="str">
        <f t="shared" si="1"/>
        <v>UTM Mosque</v>
      </c>
      <c r="H27" t="str">
        <f t="shared" si="4"/>
        <v>UTM Mosque</v>
      </c>
      <c r="I27" s="5">
        <f t="shared" si="2"/>
        <v>1.5591666666666668</v>
      </c>
      <c r="J27" s="5">
        <f t="shared" si="3"/>
        <v>103.6375</v>
      </c>
    </row>
    <row r="28" spans="1:10" x14ac:dyDescent="0.25">
      <c r="A28" t="s">
        <v>51</v>
      </c>
      <c r="B28" t="s">
        <v>51</v>
      </c>
      <c r="C28" t="s">
        <v>52</v>
      </c>
      <c r="D28" t="str">
        <f t="shared" ref="D28:D91" si="5">SUBSTITUTE(UPPER(A28), " ", "_")</f>
        <v>BENUT</v>
      </c>
      <c r="E28" t="str" cm="1">
        <f t="array" ref="E28">_xlfn.REDUCE(D28, _xlfn.SEQUENCE(ROWS(Abbreviations!$A$2:$A$12)), _xlfn.LAMBDA(_xlpm.text,_xlpm.i, SUBSTITUTE(_xlpm.text, INDEX(Abbreviations!$A$2:$A$12, _xlpm.i), INDEX(Abbreviations!$B$2:$B$12, _xlpm.i))))</f>
        <v>BENUT</v>
      </c>
      <c r="F28" t="s">
        <v>296</v>
      </c>
      <c r="G28" t="str">
        <f t="shared" si="1"/>
        <v>Benut</v>
      </c>
      <c r="H28" t="str">
        <f t="shared" si="4"/>
        <v>Benut</v>
      </c>
      <c r="I28" s="5">
        <f t="shared" si="2"/>
        <v>1.6441666666666666</v>
      </c>
      <c r="J28" s="5">
        <f t="shared" si="3"/>
        <v>103.25944444444444</v>
      </c>
    </row>
    <row r="29" spans="1:10" x14ac:dyDescent="0.25">
      <c r="A29" t="s">
        <v>53</v>
      </c>
      <c r="B29" t="s">
        <v>53</v>
      </c>
      <c r="C29" t="s">
        <v>54</v>
      </c>
      <c r="D29" t="str">
        <f t="shared" si="5"/>
        <v>KULAI_TOL_PLAZA</v>
      </c>
      <c r="E29" t="str" cm="1">
        <f t="array" ref="E29">_xlfn.REDUCE(D29, _xlfn.SEQUENCE(ROWS(Abbreviations!$A$2:$A$12)), _xlfn.LAMBDA(_xlpm.text,_xlpm.i, SUBSTITUTE(_xlpm.text, INDEX(Abbreviations!$A$2:$A$12, _xlpm.i), INDEX(Abbreviations!$B$2:$B$12, _xlpm.i))))</f>
        <v>KULAI_TOL_PLAZA</v>
      </c>
      <c r="F29" t="s">
        <v>286</v>
      </c>
      <c r="G29" t="str">
        <f t="shared" si="1"/>
        <v>Kulai Tol Plaza</v>
      </c>
      <c r="H29" t="str">
        <f t="shared" si="4"/>
        <v>Kulai Tol Plaza</v>
      </c>
      <c r="I29" s="5">
        <f t="shared" si="2"/>
        <v>1.65</v>
      </c>
      <c r="J29" s="5">
        <f t="shared" si="3"/>
        <v>103.55499999999999</v>
      </c>
    </row>
    <row r="30" spans="1:10" x14ac:dyDescent="0.25">
      <c r="A30" t="s">
        <v>55</v>
      </c>
      <c r="B30" t="s">
        <v>55</v>
      </c>
      <c r="C30" t="s">
        <v>56</v>
      </c>
      <c r="D30" t="str">
        <f t="shared" si="5"/>
        <v>EAST_OF_JOHOR_BAHRU_AIRFIELD</v>
      </c>
      <c r="E30" t="str" cm="1">
        <f t="array" ref="E30">_xlfn.REDUCE(D30, _xlfn.SEQUENCE(ROWS(Abbreviations!$A$2:$A$12)), _xlfn.LAMBDA(_xlpm.text,_xlpm.i, SUBSTITUTE(_xlpm.text, INDEX(Abbreviations!$A$2:$A$12, _xlpm.i), INDEX(Abbreviations!$B$2:$B$12, _xlpm.i))))</f>
        <v>EAST_JOHOR_BAHRU_AIRFIELD</v>
      </c>
      <c r="F30" t="s">
        <v>288</v>
      </c>
      <c r="G30" t="str">
        <f t="shared" si="1"/>
        <v>East of Johor Bahru Airfield</v>
      </c>
      <c r="H30" t="str">
        <f t="shared" si="4"/>
        <v>East of Johor Bahru Airfi</v>
      </c>
      <c r="I30" s="5">
        <f t="shared" si="2"/>
        <v>1.6680555555555554</v>
      </c>
      <c r="J30" s="5">
        <f t="shared" si="3"/>
        <v>103.71638888888889</v>
      </c>
    </row>
    <row r="31" spans="1:10" x14ac:dyDescent="0.25">
      <c r="A31" t="s">
        <v>57</v>
      </c>
      <c r="B31" t="s">
        <v>57</v>
      </c>
      <c r="C31" t="s">
        <v>58</v>
      </c>
      <c r="D31" t="str">
        <f t="shared" si="5"/>
        <v>KOTA_TINGGI_BRIDGE</v>
      </c>
      <c r="E31" t="str" cm="1">
        <f t="array" ref="E31">_xlfn.REDUCE(D31, _xlfn.SEQUENCE(ROWS(Abbreviations!$A$2:$A$12)), _xlfn.LAMBDA(_xlpm.text,_xlpm.i, SUBSTITUTE(_xlpm.text, INDEX(Abbreviations!$A$2:$A$12, _xlpm.i), INDEX(Abbreviations!$B$2:$B$12, _xlpm.i))))</f>
        <v>KOTA_TINGGI_BRIDGE</v>
      </c>
      <c r="F31" t="s">
        <v>289</v>
      </c>
      <c r="G31" t="str">
        <f t="shared" si="1"/>
        <v>Kota Tinggi Bridge</v>
      </c>
      <c r="H31" t="str">
        <f t="shared" si="4"/>
        <v>Kota Tinggi Bridge</v>
      </c>
      <c r="I31" s="5">
        <f t="shared" si="2"/>
        <v>1.7288888888888889</v>
      </c>
      <c r="J31" s="5">
        <f t="shared" si="3"/>
        <v>103.90166666666667</v>
      </c>
    </row>
    <row r="32" spans="1:10" x14ac:dyDescent="0.25">
      <c r="A32" t="s">
        <v>269</v>
      </c>
      <c r="B32" t="s">
        <v>269</v>
      </c>
      <c r="C32" t="s">
        <v>59</v>
      </c>
      <c r="D32" t="str">
        <f t="shared" si="5"/>
        <v>EAST_OF_KG_SG_TIRAM</v>
      </c>
      <c r="E32" t="str" cm="1">
        <f t="array" ref="E32">_xlfn.REDUCE(D32, _xlfn.SEQUENCE(ROWS(Abbreviations!$A$2:$A$12)), _xlfn.LAMBDA(_xlpm.text,_xlpm.i, SUBSTITUTE(_xlpm.text, INDEX(Abbreviations!$A$2:$A$12, _xlpm.i), INDEX(Abbreviations!$B$2:$B$12, _xlpm.i))))</f>
        <v>EAST_KG_SG_TIRAM</v>
      </c>
      <c r="F32" t="s">
        <v>283</v>
      </c>
      <c r="G32" t="str">
        <f t="shared" si="1"/>
        <v>East of Kg Sg Tiram</v>
      </c>
      <c r="H32" t="str">
        <f t="shared" si="4"/>
        <v>East of Kg Sg Tiram</v>
      </c>
      <c r="I32" s="5">
        <f t="shared" si="2"/>
        <v>1.5833333333333335</v>
      </c>
      <c r="J32" s="5">
        <f t="shared" si="3"/>
        <v>103.91666666666667</v>
      </c>
    </row>
    <row r="33" spans="1:10" x14ac:dyDescent="0.25">
      <c r="A33" t="s">
        <v>60</v>
      </c>
      <c r="B33" t="s">
        <v>60</v>
      </c>
      <c r="C33" t="s">
        <v>61</v>
      </c>
      <c r="D33" t="str">
        <f t="shared" si="5"/>
        <v>EAST_OF_JOHOR_BAHRU_TOWN</v>
      </c>
      <c r="E33" t="str" cm="1">
        <f t="array" ref="E33">_xlfn.REDUCE(D33, _xlfn.SEQUENCE(ROWS(Abbreviations!$A$2:$A$12)), _xlfn.LAMBDA(_xlpm.text,_xlpm.i, SUBSTITUTE(_xlpm.text, INDEX(Abbreviations!$A$2:$A$12, _xlpm.i), INDEX(Abbreviations!$B$2:$B$12, _xlpm.i))))</f>
        <v>EAST_JOHOR_BAHRU_TOWN</v>
      </c>
      <c r="F33" t="s">
        <v>285</v>
      </c>
      <c r="G33" t="str">
        <f t="shared" si="1"/>
        <v>East of Johor Bahru Town</v>
      </c>
      <c r="H33" t="str">
        <f t="shared" si="4"/>
        <v>East of Johor Bahru Town</v>
      </c>
      <c r="I33" s="5">
        <f t="shared" si="2"/>
        <v>1.5038888888888888</v>
      </c>
      <c r="J33" s="5">
        <f t="shared" si="3"/>
        <v>103.86499999999999</v>
      </c>
    </row>
    <row r="34" spans="1:10" x14ac:dyDescent="0.25">
      <c r="A34" t="s">
        <v>62</v>
      </c>
      <c r="B34" t="s">
        <v>62</v>
      </c>
      <c r="C34" t="s">
        <v>63</v>
      </c>
      <c r="D34" t="str">
        <f t="shared" si="5"/>
        <v>FELDA_ULU_TEBRAU</v>
      </c>
      <c r="E34" t="str" cm="1">
        <f t="array" ref="E34">_xlfn.REDUCE(D34, _xlfn.SEQUENCE(ROWS(Abbreviations!$A$2:$A$12)), _xlfn.LAMBDA(_xlpm.text,_xlpm.i, SUBSTITUTE(_xlpm.text, INDEX(Abbreviations!$A$2:$A$12, _xlpm.i), INDEX(Abbreviations!$B$2:$B$12, _xlpm.i))))</f>
        <v>FELDA_ULU_TEBRAU</v>
      </c>
      <c r="F34" t="s">
        <v>287</v>
      </c>
      <c r="G34" t="str">
        <f t="shared" ref="G34:G65" si="6">B34</f>
        <v>Felda Ulu Tebrau</v>
      </c>
      <c r="H34" t="str">
        <f t="shared" si="4"/>
        <v>Felda Ulu Tebrau</v>
      </c>
      <c r="I34" s="5">
        <f t="shared" ref="I34:I65" si="7">(MID(C34,1,2) + MID(C34,3,2)/60 + MID(C34,5,2)/3600) * IF(MID(C34,7,1)="S",-1,1)</f>
        <v>1.6308333333333334</v>
      </c>
      <c r="J34" s="5">
        <f t="shared" ref="J34:J65" si="8">(MID(C34,9,3) + MID(C34,12,2)/60 + MID(C34,14,2)/3600) * IF(MID(C34,16,1)="W",-1,1)</f>
        <v>103.75277777777778</v>
      </c>
    </row>
    <row r="35" spans="1:10" x14ac:dyDescent="0.25">
      <c r="A35" t="s">
        <v>64</v>
      </c>
      <c r="B35" t="s">
        <v>64</v>
      </c>
      <c r="C35" t="s">
        <v>65</v>
      </c>
      <c r="D35" t="str">
        <f t="shared" si="5"/>
        <v>TEBRAU_CITY_MALL</v>
      </c>
      <c r="E35" t="str" cm="1">
        <f t="array" ref="E35">_xlfn.REDUCE(D35, _xlfn.SEQUENCE(ROWS(Abbreviations!$A$2:$A$12)), _xlfn.LAMBDA(_xlpm.text,_xlpm.i, SUBSTITUTE(_xlpm.text, INDEX(Abbreviations!$A$2:$A$12, _xlpm.i), INDEX(Abbreviations!$B$2:$B$12, _xlpm.i))))</f>
        <v>TEBRAU_CITY_MALL</v>
      </c>
      <c r="F35" t="s">
        <v>290</v>
      </c>
      <c r="G35" t="str">
        <f t="shared" si="6"/>
        <v>Tebrau City Mall</v>
      </c>
      <c r="H35" t="str">
        <f t="shared" si="4"/>
        <v>Tebrau City Mall</v>
      </c>
      <c r="I35" s="5">
        <f t="shared" si="7"/>
        <v>1.549722222222222</v>
      </c>
      <c r="J35" s="5">
        <f t="shared" si="8"/>
        <v>103.79666666666667</v>
      </c>
    </row>
    <row r="36" spans="1:10" x14ac:dyDescent="0.25">
      <c r="A36" t="s">
        <v>622</v>
      </c>
      <c r="B36" t="s">
        <v>622</v>
      </c>
      <c r="C36" t="s">
        <v>66</v>
      </c>
      <c r="D36" t="str">
        <f t="shared" si="5"/>
        <v>SOUTH_OF_KG_SEMANGAR</v>
      </c>
      <c r="E36" t="str" cm="1">
        <f t="array" ref="E36">_xlfn.REDUCE(D36, _xlfn.SEQUENCE(ROWS(Abbreviations!$A$2:$A$12)), _xlfn.LAMBDA(_xlpm.text,_xlpm.i, SUBSTITUTE(_xlpm.text, INDEX(Abbreviations!$A$2:$A$12, _xlpm.i), INDEX(Abbreviations!$B$2:$B$12, _xlpm.i))))</f>
        <v>SOUTH_KG_SEMANGAR</v>
      </c>
      <c r="F36" t="s">
        <v>295</v>
      </c>
      <c r="G36" t="str">
        <f t="shared" si="6"/>
        <v>South of Kg Semangar</v>
      </c>
      <c r="H36" t="str">
        <f t="shared" si="4"/>
        <v>South of Kg Semangar</v>
      </c>
      <c r="I36" s="5">
        <f t="shared" si="7"/>
        <v>1.7416666666666667</v>
      </c>
      <c r="J36" s="5">
        <f t="shared" si="8"/>
        <v>103.78333333333333</v>
      </c>
    </row>
    <row r="37" spans="1:10" x14ac:dyDescent="0.25">
      <c r="A37" t="s">
        <v>252</v>
      </c>
      <c r="B37" t="s">
        <v>252</v>
      </c>
      <c r="C37" t="s">
        <v>67</v>
      </c>
      <c r="D37" t="str">
        <f t="shared" si="5"/>
        <v>KAMPUNG_SEDILI_BESAR</v>
      </c>
      <c r="E37" t="str" cm="1">
        <f t="array" ref="E37">_xlfn.REDUCE(D37, _xlfn.SEQUENCE(ROWS(Abbreviations!$A$2:$A$12)), _xlfn.LAMBDA(_xlpm.text,_xlpm.i, SUBSTITUTE(_xlpm.text, INDEX(Abbreviations!$A$2:$A$12, _xlpm.i), INDEX(Abbreviations!$B$2:$B$12, _xlpm.i))))</f>
        <v>KG_SEDILI_BESAR</v>
      </c>
      <c r="F37" t="s">
        <v>284</v>
      </c>
      <c r="G37" t="str">
        <f t="shared" si="6"/>
        <v>Kampung Sedili Besar</v>
      </c>
      <c r="H37" t="str">
        <f t="shared" si="4"/>
        <v>Kampung Sedili Besar</v>
      </c>
      <c r="I37" s="5">
        <f t="shared" si="7"/>
        <v>1.9266666666666665</v>
      </c>
      <c r="J37" s="5">
        <f t="shared" si="8"/>
        <v>104.11611111111111</v>
      </c>
    </row>
    <row r="38" spans="1:10" x14ac:dyDescent="0.25">
      <c r="A38" t="s">
        <v>220</v>
      </c>
      <c r="B38" t="s">
        <v>220</v>
      </c>
      <c r="C38" t="s">
        <v>68</v>
      </c>
      <c r="D38" t="str">
        <f t="shared" si="5"/>
        <v>SIMPANG_RENGGAM_TOWN</v>
      </c>
      <c r="E38" t="str" cm="1">
        <f t="array" ref="E38">_xlfn.REDUCE(D38, _xlfn.SEQUENCE(ROWS(Abbreviations!$A$2:$A$12)), _xlfn.LAMBDA(_xlpm.text,_xlpm.i, SUBSTITUTE(_xlpm.text, INDEX(Abbreviations!$A$2:$A$12, _xlpm.i), INDEX(Abbreviations!$B$2:$B$12, _xlpm.i))))</f>
        <v>SIMPANG_RENGGAM_TOWN</v>
      </c>
      <c r="F38" t="s">
        <v>294</v>
      </c>
      <c r="G38" t="str">
        <f t="shared" si="6"/>
        <v>Simpang Renggam Town</v>
      </c>
      <c r="H38" t="str">
        <f t="shared" si="4"/>
        <v>Simpang Renggam Town</v>
      </c>
      <c r="I38" s="5">
        <f t="shared" si="7"/>
        <v>1.8277777777777777</v>
      </c>
      <c r="J38" s="5">
        <f t="shared" si="8"/>
        <v>103.30944444444444</v>
      </c>
    </row>
    <row r="39" spans="1:10" x14ac:dyDescent="0.25">
      <c r="A39" t="s">
        <v>69</v>
      </c>
      <c r="B39" t="s">
        <v>69</v>
      </c>
      <c r="C39" t="s">
        <v>70</v>
      </c>
      <c r="D39" t="str">
        <f t="shared" si="5"/>
        <v>AIR_HITAM</v>
      </c>
      <c r="E39" t="str" cm="1">
        <f t="array" ref="E39">_xlfn.REDUCE(D39, _xlfn.SEQUENCE(ROWS(Abbreviations!$A$2:$A$12)), _xlfn.LAMBDA(_xlpm.text,_xlpm.i, SUBSTITUTE(_xlpm.text, INDEX(Abbreviations!$A$2:$A$12, _xlpm.i), INDEX(Abbreviations!$B$2:$B$12, _xlpm.i))))</f>
        <v>AIR_HITAM</v>
      </c>
      <c r="F39" t="s">
        <v>293</v>
      </c>
      <c r="G39" t="str">
        <f t="shared" si="6"/>
        <v>Air Hitam</v>
      </c>
      <c r="H39" t="str">
        <f t="shared" si="4"/>
        <v>Air Hitam</v>
      </c>
      <c r="I39" s="5">
        <f t="shared" si="7"/>
        <v>1.931111111111111</v>
      </c>
      <c r="J39" s="5">
        <f t="shared" si="8"/>
        <v>103.17583333333334</v>
      </c>
    </row>
    <row r="40" spans="1:10" x14ac:dyDescent="0.25">
      <c r="A40" t="s">
        <v>71</v>
      </c>
      <c r="B40" t="s">
        <v>71</v>
      </c>
      <c r="C40" t="s">
        <v>72</v>
      </c>
      <c r="D40" t="str">
        <f t="shared" si="5"/>
        <v>YONG_PENG</v>
      </c>
      <c r="E40" t="str" cm="1">
        <f t="array" ref="E40">_xlfn.REDUCE(D40, _xlfn.SEQUENCE(ROWS(Abbreviations!$A$2:$A$12)), _xlfn.LAMBDA(_xlpm.text,_xlpm.i, SUBSTITUTE(_xlpm.text, INDEX(Abbreviations!$A$2:$A$12, _xlpm.i), INDEX(Abbreviations!$B$2:$B$12, _xlpm.i))))</f>
        <v>YONG_PENG</v>
      </c>
      <c r="F40" t="s">
        <v>292</v>
      </c>
      <c r="G40" t="str">
        <f t="shared" si="6"/>
        <v>Yong Peng</v>
      </c>
      <c r="H40" t="str">
        <f t="shared" si="4"/>
        <v>Yong Peng</v>
      </c>
      <c r="I40" s="5">
        <f t="shared" si="7"/>
        <v>2.0172222222222222</v>
      </c>
      <c r="J40" s="5">
        <f t="shared" si="8"/>
        <v>103.06305555555555</v>
      </c>
    </row>
    <row r="41" spans="1:10" x14ac:dyDescent="0.25">
      <c r="A41" t="s">
        <v>253</v>
      </c>
      <c r="B41" t="s">
        <v>253</v>
      </c>
      <c r="C41" t="s">
        <v>73</v>
      </c>
      <c r="D41" t="str">
        <f t="shared" si="5"/>
        <v>POINT_XRAY</v>
      </c>
      <c r="E41" t="str" cm="1">
        <f t="array" ref="E41">_xlfn.REDUCE(D41, _xlfn.SEQUENCE(ROWS(Abbreviations!$A$2:$A$12)), _xlfn.LAMBDA(_xlpm.text,_xlpm.i, SUBSTITUTE(_xlpm.text, INDEX(Abbreviations!$A$2:$A$12, _xlpm.i), INDEX(Abbreviations!$B$2:$B$12, _xlpm.i))))</f>
        <v>POINT_XRAY</v>
      </c>
      <c r="F41" t="s">
        <v>291</v>
      </c>
      <c r="G41" t="str">
        <f t="shared" si="6"/>
        <v>Point XRay</v>
      </c>
      <c r="H41" t="str">
        <f t="shared" si="4"/>
        <v>Point XRay</v>
      </c>
      <c r="I41" s="5">
        <f t="shared" si="7"/>
        <v>1.4750000000000001</v>
      </c>
      <c r="J41" s="5">
        <f t="shared" si="8"/>
        <v>103.83166666666666</v>
      </c>
    </row>
    <row r="42" spans="1:10" x14ac:dyDescent="0.25">
      <c r="A42" t="s">
        <v>74</v>
      </c>
      <c r="B42" t="s">
        <v>74</v>
      </c>
      <c r="C42" t="s">
        <v>88</v>
      </c>
      <c r="D42" t="str">
        <f t="shared" si="5"/>
        <v>TASS_ANDRASSY</v>
      </c>
      <c r="E42" t="str" cm="1">
        <f t="array" ref="E42">_xlfn.REDUCE(D42, _xlfn.SEQUENCE(ROWS(Abbreviations!$A$2:$A$12)), _xlfn.LAMBDA(_xlpm.text,_xlpm.i, SUBSTITUTE(_xlpm.text, INDEX(Abbreviations!$A$2:$A$12, _xlpm.i), INDEX(Abbreviations!$B$2:$B$12, _xlpm.i))))</f>
        <v>TASS_ANDRASSY</v>
      </c>
      <c r="F42" t="s">
        <v>348</v>
      </c>
      <c r="G42" t="str">
        <f t="shared" si="6"/>
        <v>Tass Andrassy</v>
      </c>
      <c r="H42" t="str">
        <f t="shared" si="4"/>
        <v>Tass Andrassy</v>
      </c>
      <c r="I42" s="5">
        <f t="shared" si="7"/>
        <v>4.3213888888888885</v>
      </c>
      <c r="J42" s="5">
        <f t="shared" si="8"/>
        <v>118.02138888888889</v>
      </c>
    </row>
    <row r="43" spans="1:10" x14ac:dyDescent="0.25">
      <c r="A43" t="s">
        <v>75</v>
      </c>
      <c r="B43" t="s">
        <v>75</v>
      </c>
      <c r="C43" t="s">
        <v>89</v>
      </c>
      <c r="D43" t="str">
        <f t="shared" si="5"/>
        <v>OLD_AIRPORT</v>
      </c>
      <c r="E43" t="str" cm="1">
        <f t="array" ref="E43">_xlfn.REDUCE(D43, _xlfn.SEQUENCE(ROWS(Abbreviations!$A$2:$A$12)), _xlfn.LAMBDA(_xlpm.text,_xlpm.i, SUBSTITUTE(_xlpm.text, INDEX(Abbreviations!$A$2:$A$12, _xlpm.i), INDEX(Abbreviations!$B$2:$B$12, _xlpm.i))))</f>
        <v>OLD_AIRPORT</v>
      </c>
      <c r="F43" t="s">
        <v>349</v>
      </c>
      <c r="G43" t="str">
        <f t="shared" si="6"/>
        <v>Old Airport</v>
      </c>
      <c r="H43" t="str">
        <f t="shared" si="4"/>
        <v>Old Airport</v>
      </c>
      <c r="I43" s="5">
        <f t="shared" si="7"/>
        <v>4.2669444444444444</v>
      </c>
      <c r="J43" s="5">
        <f t="shared" si="8"/>
        <v>117.88666666666667</v>
      </c>
    </row>
    <row r="44" spans="1:10" x14ac:dyDescent="0.25">
      <c r="A44" t="s">
        <v>76</v>
      </c>
      <c r="B44" t="s">
        <v>76</v>
      </c>
      <c r="C44" t="s">
        <v>90</v>
      </c>
      <c r="D44" t="str">
        <f t="shared" si="5"/>
        <v>SEBATIK_ISLAND</v>
      </c>
      <c r="E44" t="str" cm="1">
        <f t="array" ref="E44">_xlfn.REDUCE(D44, _xlfn.SEQUENCE(ROWS(Abbreviations!$A$2:$A$12)), _xlfn.LAMBDA(_xlpm.text,_xlpm.i, SUBSTITUTE(_xlpm.text, INDEX(Abbreviations!$A$2:$A$12, _xlpm.i), INDEX(Abbreviations!$B$2:$B$12, _xlpm.i))))</f>
        <v>SEBATIK_IS</v>
      </c>
      <c r="F44" t="s">
        <v>350</v>
      </c>
      <c r="G44" t="str">
        <f t="shared" si="6"/>
        <v>Sebatik Island</v>
      </c>
      <c r="H44" t="str">
        <f t="shared" si="4"/>
        <v>Sebatik Island</v>
      </c>
      <c r="I44" s="5">
        <f t="shared" si="7"/>
        <v>4.2230555555555558</v>
      </c>
      <c r="J44" s="5">
        <f t="shared" si="8"/>
        <v>117.78055555555555</v>
      </c>
    </row>
    <row r="45" spans="1:10" x14ac:dyDescent="0.25">
      <c r="A45" t="s">
        <v>77</v>
      </c>
      <c r="B45" t="s">
        <v>77</v>
      </c>
      <c r="C45" t="s">
        <v>91</v>
      </c>
      <c r="D45" t="str">
        <f t="shared" si="5"/>
        <v>KALABAKAN</v>
      </c>
      <c r="E45" t="str" cm="1">
        <f t="array" ref="E45">_xlfn.REDUCE(D45, _xlfn.SEQUENCE(ROWS(Abbreviations!$A$2:$A$12)), _xlfn.LAMBDA(_xlpm.text,_xlpm.i, SUBSTITUTE(_xlpm.text, INDEX(Abbreviations!$A$2:$A$12, _xlpm.i), INDEX(Abbreviations!$B$2:$B$12, _xlpm.i))))</f>
        <v>KALABAKAN</v>
      </c>
      <c r="F45" t="s">
        <v>351</v>
      </c>
      <c r="G45" t="str">
        <f t="shared" si="6"/>
        <v>Kalabakan</v>
      </c>
      <c r="H45" t="str">
        <f t="shared" si="4"/>
        <v>Kalabakan</v>
      </c>
      <c r="I45" s="5">
        <f t="shared" si="7"/>
        <v>4.3988888888888891</v>
      </c>
      <c r="J45" s="5">
        <f t="shared" si="8"/>
        <v>117.495</v>
      </c>
    </row>
    <row r="46" spans="1:10" x14ac:dyDescent="0.25">
      <c r="A46" t="s">
        <v>78</v>
      </c>
      <c r="B46" t="s">
        <v>78</v>
      </c>
      <c r="C46" t="s">
        <v>92</v>
      </c>
      <c r="D46" t="str">
        <f t="shared" si="5"/>
        <v>BALUNG</v>
      </c>
      <c r="E46" t="str" cm="1">
        <f t="array" ref="E46">_xlfn.REDUCE(D46, _xlfn.SEQUENCE(ROWS(Abbreviations!$A$2:$A$12)), _xlfn.LAMBDA(_xlpm.text,_xlpm.i, SUBSTITUTE(_xlpm.text, INDEX(Abbreviations!$A$2:$A$12, _xlpm.i), INDEX(Abbreviations!$B$2:$B$12, _xlpm.i))))</f>
        <v>BALUNG</v>
      </c>
      <c r="F46" t="s">
        <v>326</v>
      </c>
      <c r="G46" t="str">
        <f t="shared" si="6"/>
        <v>Balung</v>
      </c>
      <c r="H46" t="str">
        <f t="shared" si="4"/>
        <v>Balung</v>
      </c>
      <c r="I46" s="5">
        <f t="shared" si="7"/>
        <v>4.3644444444444437</v>
      </c>
      <c r="J46" s="5">
        <f t="shared" si="8"/>
        <v>118.12777777777777</v>
      </c>
    </row>
    <row r="47" spans="1:10" x14ac:dyDescent="0.25">
      <c r="A47" t="s">
        <v>79</v>
      </c>
      <c r="B47" t="s">
        <v>79</v>
      </c>
      <c r="C47" t="s">
        <v>93</v>
      </c>
      <c r="D47" t="str">
        <f t="shared" si="5"/>
        <v>KAWA_HILL</v>
      </c>
      <c r="E47" t="str" cm="1">
        <f t="array" ref="E47">_xlfn.REDUCE(D47, _xlfn.SEQUENCE(ROWS(Abbreviations!$A$2:$A$12)), _xlfn.LAMBDA(_xlpm.text,_xlpm.i, SUBSTITUTE(_xlpm.text, INDEX(Abbreviations!$A$2:$A$12, _xlpm.i), INDEX(Abbreviations!$B$2:$B$12, _xlpm.i))))</f>
        <v>KAWA_HILL</v>
      </c>
      <c r="F47" t="s">
        <v>352</v>
      </c>
      <c r="G47" t="str">
        <f t="shared" si="6"/>
        <v>Kawa Hill</v>
      </c>
      <c r="H47" t="str">
        <f t="shared" si="4"/>
        <v>Kawa Hill</v>
      </c>
      <c r="I47" s="5">
        <f t="shared" si="7"/>
        <v>4.3938888888888892</v>
      </c>
      <c r="J47" s="5">
        <f t="shared" si="8"/>
        <v>118.08694444444444</v>
      </c>
    </row>
    <row r="48" spans="1:10" x14ac:dyDescent="0.25">
      <c r="A48" t="s">
        <v>272</v>
      </c>
      <c r="B48" t="s">
        <v>272</v>
      </c>
      <c r="C48" t="s">
        <v>94</v>
      </c>
      <c r="D48" t="str">
        <f t="shared" si="5"/>
        <v>MT_PYRAMID</v>
      </c>
      <c r="E48" t="str" cm="1">
        <f t="array" ref="E48">_xlfn.REDUCE(D48, _xlfn.SEQUENCE(ROWS(Abbreviations!$A$2:$A$12)), _xlfn.LAMBDA(_xlpm.text,_xlpm.i, SUBSTITUTE(_xlpm.text, INDEX(Abbreviations!$A$2:$A$12, _xlpm.i), INDEX(Abbreviations!$B$2:$B$12, _xlpm.i))))</f>
        <v>MT_PYRAMID</v>
      </c>
      <c r="F48" t="s">
        <v>353</v>
      </c>
      <c r="G48" t="str">
        <f t="shared" si="6"/>
        <v>Mt Pyramid</v>
      </c>
      <c r="H48" t="str">
        <f t="shared" si="4"/>
        <v>Mt Pyramid</v>
      </c>
      <c r="I48" s="5">
        <f t="shared" si="7"/>
        <v>4.4733333333333336</v>
      </c>
      <c r="J48" s="5">
        <f t="shared" si="8"/>
        <v>118.06916666666666</v>
      </c>
    </row>
    <row r="49" spans="1:10" x14ac:dyDescent="0.25">
      <c r="A49" t="s">
        <v>80</v>
      </c>
      <c r="B49" t="s">
        <v>80</v>
      </c>
      <c r="C49" t="s">
        <v>95</v>
      </c>
      <c r="D49" t="str">
        <f t="shared" si="5"/>
        <v>BATURONG</v>
      </c>
      <c r="E49" t="str" cm="1">
        <f t="array" ref="E49">_xlfn.REDUCE(D49, _xlfn.SEQUENCE(ROWS(Abbreviations!$A$2:$A$12)), _xlfn.LAMBDA(_xlpm.text,_xlpm.i, SUBSTITUTE(_xlpm.text, INDEX(Abbreviations!$A$2:$A$12, _xlpm.i), INDEX(Abbreviations!$B$2:$B$12, _xlpm.i))))</f>
        <v>BATURONG</v>
      </c>
      <c r="F49" t="s">
        <v>354</v>
      </c>
      <c r="G49" t="str">
        <f t="shared" si="6"/>
        <v>Baturong</v>
      </c>
      <c r="H49" t="str">
        <f t="shared" si="4"/>
        <v>Baturong</v>
      </c>
      <c r="I49" s="5">
        <f t="shared" si="7"/>
        <v>4.6994444444444445</v>
      </c>
      <c r="J49" s="5">
        <f t="shared" si="8"/>
        <v>118.0025</v>
      </c>
    </row>
    <row r="50" spans="1:10" x14ac:dyDescent="0.25">
      <c r="A50" t="s">
        <v>81</v>
      </c>
      <c r="B50" t="s">
        <v>81</v>
      </c>
      <c r="C50" t="s">
        <v>96</v>
      </c>
      <c r="D50" t="str">
        <f t="shared" si="5"/>
        <v>DANUM</v>
      </c>
      <c r="E50" t="str" cm="1">
        <f t="array" ref="E50">_xlfn.REDUCE(D50, _xlfn.SEQUENCE(ROWS(Abbreviations!$A$2:$A$12)), _xlfn.LAMBDA(_xlpm.text,_xlpm.i, SUBSTITUTE(_xlpm.text, INDEX(Abbreviations!$A$2:$A$12, _xlpm.i), INDEX(Abbreviations!$B$2:$B$12, _xlpm.i))))</f>
        <v>DANUM</v>
      </c>
      <c r="F50" t="s">
        <v>327</v>
      </c>
      <c r="G50" t="str">
        <f t="shared" si="6"/>
        <v>Danum</v>
      </c>
      <c r="H50" t="str">
        <f t="shared" si="4"/>
        <v>Danum</v>
      </c>
      <c r="I50" s="5">
        <f t="shared" si="7"/>
        <v>4.8519444444444444</v>
      </c>
      <c r="J50" s="5">
        <f t="shared" si="8"/>
        <v>117.78638888888889</v>
      </c>
    </row>
    <row r="51" spans="1:10" x14ac:dyDescent="0.25">
      <c r="A51" t="s">
        <v>82</v>
      </c>
      <c r="B51" t="s">
        <v>82</v>
      </c>
      <c r="C51" t="s">
        <v>97</v>
      </c>
      <c r="D51" t="str">
        <f>SUBSTITUTE(UPPER(A51), " ", "_")</f>
        <v>JUNCTION_(49KM)</v>
      </c>
      <c r="E51" t="str" cm="1">
        <f t="array" ref="E51">_xlfn.REDUCE(D51, _xlfn.SEQUENCE(ROWS(Abbreviations!$A$2:$A$12)), _xlfn.LAMBDA(_xlpm.text,_xlpm.i, SUBSTITUTE(_xlpm.text, INDEX(Abbreviations!$A$2:$A$12, _xlpm.i), INDEX(Abbreviations!$B$2:$B$12, _xlpm.i))))</f>
        <v>JUNCTION_(49KM)</v>
      </c>
      <c r="F51" t="s">
        <v>355</v>
      </c>
      <c r="G51" t="str">
        <f t="shared" si="6"/>
        <v>Junction (49KM)</v>
      </c>
      <c r="H51" t="str">
        <f t="shared" si="4"/>
        <v>Junction (49KM)</v>
      </c>
      <c r="I51" s="5">
        <f t="shared" si="7"/>
        <v>4.4266666666666667</v>
      </c>
      <c r="J51" s="5">
        <f t="shared" si="8"/>
        <v>118.17833333333334</v>
      </c>
    </row>
    <row r="52" spans="1:10" x14ac:dyDescent="0.25">
      <c r="A52" t="s">
        <v>254</v>
      </c>
      <c r="B52" t="s">
        <v>254</v>
      </c>
      <c r="C52" t="s">
        <v>98</v>
      </c>
      <c r="D52" t="str">
        <f t="shared" si="5"/>
        <v>KAMPUNG_AMAN</v>
      </c>
      <c r="E52" t="str" cm="1">
        <f t="array" ref="E52">_xlfn.REDUCE(D52, _xlfn.SEQUENCE(ROWS(Abbreviations!$A$2:$A$12)), _xlfn.LAMBDA(_xlpm.text,_xlpm.i, SUBSTITUTE(_xlpm.text, INDEX(Abbreviations!$A$2:$A$12, _xlpm.i), INDEX(Abbreviations!$B$2:$B$12, _xlpm.i))))</f>
        <v>KG_AMAN</v>
      </c>
      <c r="F52" t="s">
        <v>356</v>
      </c>
      <c r="G52" t="str">
        <f t="shared" si="6"/>
        <v>Kampung Aman</v>
      </c>
      <c r="H52" t="str">
        <f t="shared" si="4"/>
        <v>Kampung Aman</v>
      </c>
      <c r="I52" s="5">
        <f t="shared" si="7"/>
        <v>4.6036111111111104</v>
      </c>
      <c r="J52" s="5">
        <f t="shared" si="8"/>
        <v>118.18972222222223</v>
      </c>
    </row>
    <row r="53" spans="1:10" x14ac:dyDescent="0.25">
      <c r="A53" t="s">
        <v>255</v>
      </c>
      <c r="B53" t="s">
        <v>255</v>
      </c>
      <c r="C53" t="s">
        <v>99</v>
      </c>
      <c r="D53" t="str">
        <f t="shared" si="5"/>
        <v>TANJUNG_BATAI</v>
      </c>
      <c r="E53" t="str" cm="1">
        <f t="array" ref="E53">_xlfn.REDUCE(D53, _xlfn.SEQUENCE(ROWS(Abbreviations!$A$2:$A$12)), _xlfn.LAMBDA(_xlpm.text,_xlpm.i, SUBSTITUTE(_xlpm.text, INDEX(Abbreviations!$A$2:$A$12, _xlpm.i), INDEX(Abbreviations!$B$2:$B$12, _xlpm.i))))</f>
        <v>TJ_BATAI</v>
      </c>
      <c r="F53" t="s">
        <v>357</v>
      </c>
      <c r="G53" t="str">
        <f t="shared" si="6"/>
        <v>Tanjung Batai</v>
      </c>
      <c r="H53" t="str">
        <f t="shared" si="4"/>
        <v>Tanjung Batai</v>
      </c>
      <c r="I53" s="5">
        <f t="shared" si="7"/>
        <v>4.8386111111111108</v>
      </c>
      <c r="J53" s="5">
        <f t="shared" si="8"/>
        <v>118.16777777777779</v>
      </c>
    </row>
    <row r="54" spans="1:10" x14ac:dyDescent="0.25">
      <c r="A54" t="s">
        <v>83</v>
      </c>
      <c r="B54" t="s">
        <v>83</v>
      </c>
      <c r="C54" t="s">
        <v>100</v>
      </c>
      <c r="D54" t="str">
        <f t="shared" si="5"/>
        <v>SADDLE_HILL</v>
      </c>
      <c r="E54" t="str" cm="1">
        <f t="array" ref="E54">_xlfn.REDUCE(D54, _xlfn.SEQUENCE(ROWS(Abbreviations!$A$2:$A$12)), _xlfn.LAMBDA(_xlpm.text,_xlpm.i, SUBSTITUTE(_xlpm.text, INDEX(Abbreviations!$A$2:$A$12, _xlpm.i), INDEX(Abbreviations!$B$2:$B$12, _xlpm.i))))</f>
        <v>SADDLE_HILL</v>
      </c>
      <c r="F54" t="s">
        <v>358</v>
      </c>
      <c r="G54" t="str">
        <f t="shared" si="6"/>
        <v>Saddle Hill</v>
      </c>
      <c r="H54" t="str">
        <f t="shared" si="4"/>
        <v>Saddle Hill</v>
      </c>
      <c r="I54" s="5">
        <f t="shared" si="7"/>
        <v>4.2988888888888885</v>
      </c>
      <c r="J54" s="5">
        <f t="shared" si="8"/>
        <v>118.18555555555555</v>
      </c>
    </row>
    <row r="55" spans="1:10" x14ac:dyDescent="0.25">
      <c r="A55" t="s">
        <v>84</v>
      </c>
      <c r="B55" t="s">
        <v>84</v>
      </c>
      <c r="C55" t="s">
        <v>101</v>
      </c>
      <c r="D55" t="str">
        <f t="shared" si="5"/>
        <v>NAGOS</v>
      </c>
      <c r="E55" t="str" cm="1">
        <f t="array" ref="E55">_xlfn.REDUCE(D55, _xlfn.SEQUENCE(ROWS(Abbreviations!$A$2:$A$12)), _xlfn.LAMBDA(_xlpm.text,_xlpm.i, SUBSTITUTE(_xlpm.text, INDEX(Abbreviations!$A$2:$A$12, _xlpm.i), INDEX(Abbreviations!$B$2:$B$12, _xlpm.i))))</f>
        <v>NAGOS</v>
      </c>
      <c r="F55" t="s">
        <v>328</v>
      </c>
      <c r="G55" t="str">
        <f t="shared" si="6"/>
        <v>Nagos</v>
      </c>
      <c r="H55" t="str">
        <f t="shared" si="4"/>
        <v>Nagos</v>
      </c>
      <c r="I55" s="5">
        <f t="shared" si="7"/>
        <v>4.3477777777777771</v>
      </c>
      <c r="J55" s="5">
        <f t="shared" si="8"/>
        <v>118.39305555555556</v>
      </c>
    </row>
    <row r="56" spans="1:10" x14ac:dyDescent="0.25">
      <c r="A56" t="s">
        <v>85</v>
      </c>
      <c r="B56" t="s">
        <v>85</v>
      </c>
      <c r="C56" t="s">
        <v>102</v>
      </c>
      <c r="D56" t="str">
        <f t="shared" si="5"/>
        <v>SEMPORNA</v>
      </c>
      <c r="E56" t="str" cm="1">
        <f t="array" ref="E56">_xlfn.REDUCE(D56, _xlfn.SEQUENCE(ROWS(Abbreviations!$A$2:$A$12)), _xlfn.LAMBDA(_xlpm.text,_xlpm.i, SUBSTITUTE(_xlpm.text, INDEX(Abbreviations!$A$2:$A$12, _xlpm.i), INDEX(Abbreviations!$B$2:$B$12, _xlpm.i))))</f>
        <v>SEMPORNA</v>
      </c>
      <c r="F56" t="s">
        <v>359</v>
      </c>
      <c r="G56" t="str">
        <f t="shared" si="6"/>
        <v>Semporna</v>
      </c>
      <c r="H56" t="str">
        <f t="shared" si="4"/>
        <v>Semporna</v>
      </c>
      <c r="I56" s="5">
        <f t="shared" si="7"/>
        <v>4.4497222222222224</v>
      </c>
      <c r="J56" s="5">
        <f t="shared" si="8"/>
        <v>118.59638888888888</v>
      </c>
    </row>
    <row r="57" spans="1:10" x14ac:dyDescent="0.25">
      <c r="A57" t="s">
        <v>86</v>
      </c>
      <c r="B57" t="s">
        <v>86</v>
      </c>
      <c r="C57" t="s">
        <v>103</v>
      </c>
      <c r="D57" t="str">
        <f t="shared" si="5"/>
        <v>GAYA_ISLAND</v>
      </c>
      <c r="E57" t="str" cm="1">
        <f t="array" ref="E57">_xlfn.REDUCE(D57, _xlfn.SEQUENCE(ROWS(Abbreviations!$A$2:$A$12)), _xlfn.LAMBDA(_xlpm.text,_xlpm.i, SUBSTITUTE(_xlpm.text, INDEX(Abbreviations!$A$2:$A$12, _xlpm.i), INDEX(Abbreviations!$B$2:$B$12, _xlpm.i))))</f>
        <v>GAYA_IS</v>
      </c>
      <c r="F57" t="s">
        <v>360</v>
      </c>
      <c r="G57" t="str">
        <f t="shared" si="6"/>
        <v>Gaya Island</v>
      </c>
      <c r="H57" t="str">
        <f t="shared" si="4"/>
        <v>Gaya Island</v>
      </c>
      <c r="I57" s="5">
        <f t="shared" si="7"/>
        <v>4.6222222222222227</v>
      </c>
      <c r="J57" s="5">
        <f t="shared" si="8"/>
        <v>118.74027777777778</v>
      </c>
    </row>
    <row r="58" spans="1:10" x14ac:dyDescent="0.25">
      <c r="A58" t="s">
        <v>87</v>
      </c>
      <c r="B58" t="s">
        <v>87</v>
      </c>
      <c r="C58" t="s">
        <v>104</v>
      </c>
      <c r="D58" t="str">
        <f t="shared" si="5"/>
        <v>SIPADAN_ISLAND</v>
      </c>
      <c r="E58" t="str" cm="1">
        <f t="array" ref="E58">_xlfn.REDUCE(D58, _xlfn.SEQUENCE(ROWS(Abbreviations!$A$2:$A$12)), _xlfn.LAMBDA(_xlpm.text,_xlpm.i, SUBSTITUTE(_xlpm.text, INDEX(Abbreviations!$A$2:$A$12, _xlpm.i), INDEX(Abbreviations!$B$2:$B$12, _xlpm.i))))</f>
        <v>SIPADAN_IS</v>
      </c>
      <c r="F58" t="s">
        <v>361</v>
      </c>
      <c r="G58" t="str">
        <f t="shared" si="6"/>
        <v>Sipadan Island</v>
      </c>
      <c r="H58" t="str">
        <f t="shared" si="4"/>
        <v>Sipadan Island</v>
      </c>
      <c r="I58" s="5">
        <f t="shared" si="7"/>
        <v>4.1405555555555562</v>
      </c>
      <c r="J58" s="5">
        <f t="shared" si="8"/>
        <v>118.6438888888889</v>
      </c>
    </row>
    <row r="59" spans="1:10" x14ac:dyDescent="0.25">
      <c r="A59" t="s">
        <v>105</v>
      </c>
      <c r="B59" t="s">
        <v>105</v>
      </c>
      <c r="C59" t="s">
        <v>125</v>
      </c>
      <c r="D59" t="str">
        <f t="shared" si="5"/>
        <v>BANDAR_INDAH_(ROAD_JUNCTION)</v>
      </c>
      <c r="E59" t="str" cm="1">
        <f t="array" ref="E59">_xlfn.REDUCE(D59, _xlfn.SEQUENCE(ROWS(Abbreviations!$A$2:$A$12)), _xlfn.LAMBDA(_xlpm.text,_xlpm.i, SUBSTITUTE(_xlpm.text, INDEX(Abbreviations!$A$2:$A$12, _xlpm.i), INDEX(Abbreviations!$B$2:$B$12, _xlpm.i))))</f>
        <v>BANDAR_INDAH_(ROAD_JUNCTION)</v>
      </c>
      <c r="F59" t="s">
        <v>362</v>
      </c>
      <c r="G59" t="str">
        <f t="shared" si="6"/>
        <v>Bandar Indah (Road Junction)</v>
      </c>
      <c r="H59" t="str">
        <f t="shared" si="4"/>
        <v>Bandar Indah (Road Juncti</v>
      </c>
      <c r="I59" s="5">
        <f t="shared" si="7"/>
        <v>5.855833333333333</v>
      </c>
      <c r="J59" s="5">
        <f t="shared" si="8"/>
        <v>118.07222222222222</v>
      </c>
    </row>
    <row r="60" spans="1:10" x14ac:dyDescent="0.25">
      <c r="A60" t="s">
        <v>106</v>
      </c>
      <c r="B60" t="s">
        <v>106</v>
      </c>
      <c r="C60" t="s">
        <v>126</v>
      </c>
      <c r="D60" t="str">
        <f t="shared" si="5"/>
        <v>KAMPONG_TOBANKA</v>
      </c>
      <c r="E60" t="str" cm="1">
        <f t="array" ref="E60">_xlfn.REDUCE(D60, _xlfn.SEQUENCE(ROWS(Abbreviations!$A$2:$A$12)), _xlfn.LAMBDA(_xlpm.text,_xlpm.i, SUBSTITUTE(_xlpm.text, INDEX(Abbreviations!$A$2:$A$12, _xlpm.i), INDEX(Abbreviations!$B$2:$B$12, _xlpm.i))))</f>
        <v>KAMPONG_TOBANKA</v>
      </c>
      <c r="F60" t="s">
        <v>363</v>
      </c>
      <c r="G60" t="str">
        <f t="shared" si="6"/>
        <v>Kampong Tobanka</v>
      </c>
      <c r="H60" t="str">
        <f t="shared" si="4"/>
        <v>Kampong Tobanka</v>
      </c>
      <c r="I60" s="5">
        <f t="shared" si="7"/>
        <v>6.019166666666667</v>
      </c>
      <c r="J60" s="5">
        <f t="shared" si="8"/>
        <v>118.03944444444444</v>
      </c>
    </row>
    <row r="61" spans="1:10" x14ac:dyDescent="0.25">
      <c r="A61" t="s">
        <v>107</v>
      </c>
      <c r="B61" t="s">
        <v>107</v>
      </c>
      <c r="C61" t="s">
        <v>127</v>
      </c>
      <c r="D61" t="str">
        <f t="shared" si="5"/>
        <v>BAI_ISLAND</v>
      </c>
      <c r="E61" t="str" cm="1">
        <f t="array" ref="E61">_xlfn.REDUCE(D61, _xlfn.SEQUENCE(ROWS(Abbreviations!$A$2:$A$12)), _xlfn.LAMBDA(_xlpm.text,_xlpm.i, SUBSTITUTE(_xlpm.text, INDEX(Abbreviations!$A$2:$A$12, _xlpm.i), INDEX(Abbreviations!$B$2:$B$12, _xlpm.i))))</f>
        <v>BAI_IS</v>
      </c>
      <c r="F61" t="s">
        <v>396</v>
      </c>
      <c r="G61" t="str">
        <f t="shared" si="6"/>
        <v>Bai Island</v>
      </c>
      <c r="H61" t="str">
        <f t="shared" si="4"/>
        <v>Bai Island</v>
      </c>
      <c r="I61" s="5">
        <f t="shared" si="7"/>
        <v>5.7752777777777773</v>
      </c>
      <c r="J61" s="5">
        <f t="shared" si="8"/>
        <v>118.10027777777778</v>
      </c>
    </row>
    <row r="62" spans="1:10" x14ac:dyDescent="0.25">
      <c r="A62" t="s">
        <v>108</v>
      </c>
      <c r="B62" t="s">
        <v>108</v>
      </c>
      <c r="C62" t="s">
        <v>128</v>
      </c>
      <c r="D62" t="str">
        <f t="shared" si="5"/>
        <v>TANJUNG_BIDADARI</v>
      </c>
      <c r="E62" t="str" cm="1">
        <f t="array" ref="E62">_xlfn.REDUCE(D62, _xlfn.SEQUENCE(ROWS(Abbreviations!$A$2:$A$12)), _xlfn.LAMBDA(_xlpm.text,_xlpm.i, SUBSTITUTE(_xlpm.text, INDEX(Abbreviations!$A$2:$A$12, _xlpm.i), INDEX(Abbreviations!$B$2:$B$12, _xlpm.i))))</f>
        <v>TJ_BIDADARI</v>
      </c>
      <c r="F62" t="s">
        <v>364</v>
      </c>
      <c r="G62" t="str">
        <f t="shared" si="6"/>
        <v>Tanjung Bidadari</v>
      </c>
      <c r="H62" t="str">
        <f t="shared" si="4"/>
        <v>Tanjung Bidadari</v>
      </c>
      <c r="I62" s="5">
        <f t="shared" si="7"/>
        <v>5.8244444444444445</v>
      </c>
      <c r="J62" s="5">
        <f t="shared" si="8"/>
        <v>118.34916666666666</v>
      </c>
    </row>
    <row r="63" spans="1:10" x14ac:dyDescent="0.25">
      <c r="A63" t="s">
        <v>109</v>
      </c>
      <c r="B63" t="s">
        <v>109</v>
      </c>
      <c r="C63" t="s">
        <v>129</v>
      </c>
      <c r="D63" t="str">
        <f t="shared" si="5"/>
        <v>KUALA_KINABATANGAN_BESAR</v>
      </c>
      <c r="E63" t="str" cm="1">
        <f t="array" ref="E63">_xlfn.REDUCE(D63, _xlfn.SEQUENCE(ROWS(Abbreviations!$A$2:$A$12)), _xlfn.LAMBDA(_xlpm.text,_xlpm.i, SUBSTITUTE(_xlpm.text, INDEX(Abbreviations!$A$2:$A$12, _xlpm.i), INDEX(Abbreviations!$B$2:$B$12, _xlpm.i))))</f>
        <v>KUALA_KINABATANGAN_BESAR</v>
      </c>
      <c r="F63" t="s">
        <v>365</v>
      </c>
      <c r="G63" t="str">
        <f t="shared" si="6"/>
        <v>Kuala Kinabatangan Besar</v>
      </c>
      <c r="H63" t="str">
        <f t="shared" si="4"/>
        <v>Kuala Kinabatangan Besar</v>
      </c>
      <c r="I63" s="5">
        <f t="shared" si="7"/>
        <v>5.642777777777777</v>
      </c>
      <c r="J63" s="5">
        <f t="shared" si="8"/>
        <v>118.6125</v>
      </c>
    </row>
    <row r="64" spans="1:10" x14ac:dyDescent="0.25">
      <c r="A64" t="s">
        <v>110</v>
      </c>
      <c r="B64" t="s">
        <v>110</v>
      </c>
      <c r="C64" t="s">
        <v>130</v>
      </c>
      <c r="D64" t="str">
        <f t="shared" si="5"/>
        <v>KAMPUNG_BILIT</v>
      </c>
      <c r="E64" t="str" cm="1">
        <f t="array" ref="E64">_xlfn.REDUCE(D64, _xlfn.SEQUENCE(ROWS(Abbreviations!$A$2:$A$12)), _xlfn.LAMBDA(_xlpm.text,_xlpm.i, SUBSTITUTE(_xlpm.text, INDEX(Abbreviations!$A$2:$A$12, _xlpm.i), INDEX(Abbreviations!$B$2:$B$12, _xlpm.i))))</f>
        <v>KG_BILIT</v>
      </c>
      <c r="F64" t="s">
        <v>366</v>
      </c>
      <c r="G64" t="str">
        <f t="shared" si="6"/>
        <v>Kampung Bilit</v>
      </c>
      <c r="H64" t="str">
        <f t="shared" si="4"/>
        <v>Kampung Bilit</v>
      </c>
      <c r="I64" s="5">
        <f t="shared" si="7"/>
        <v>5.4975000000000005</v>
      </c>
      <c r="J64" s="5">
        <f t="shared" si="8"/>
        <v>118.20805555555556</v>
      </c>
    </row>
    <row r="65" spans="1:10" x14ac:dyDescent="0.25">
      <c r="A65" t="s">
        <v>111</v>
      </c>
      <c r="B65" t="s">
        <v>111</v>
      </c>
      <c r="C65" t="s">
        <v>131</v>
      </c>
      <c r="D65" t="str">
        <f t="shared" si="5"/>
        <v>SUNGAI_SEGUNTOR</v>
      </c>
      <c r="E65" t="str" cm="1">
        <f t="array" ref="E65">_xlfn.REDUCE(D65, _xlfn.SEQUENCE(ROWS(Abbreviations!$A$2:$A$12)), _xlfn.LAMBDA(_xlpm.text,_xlpm.i, SUBSTITUTE(_xlpm.text, INDEX(Abbreviations!$A$2:$A$12, _xlpm.i), INDEX(Abbreviations!$B$2:$B$12, _xlpm.i))))</f>
        <v>SG_SEGUNTOR</v>
      </c>
      <c r="F65" t="s">
        <v>367</v>
      </c>
      <c r="G65" t="str">
        <f t="shared" si="6"/>
        <v>Sungai Seguntor</v>
      </c>
      <c r="H65" t="str">
        <f t="shared" si="4"/>
        <v>Sungai Seguntor</v>
      </c>
      <c r="I65" s="5">
        <f t="shared" si="7"/>
        <v>5.8066666666666666</v>
      </c>
      <c r="J65" s="5">
        <f t="shared" si="8"/>
        <v>117.99361111111111</v>
      </c>
    </row>
    <row r="66" spans="1:10" x14ac:dyDescent="0.25">
      <c r="A66" t="s">
        <v>112</v>
      </c>
      <c r="B66" t="s">
        <v>112</v>
      </c>
      <c r="C66" t="s">
        <v>132</v>
      </c>
      <c r="D66" t="str">
        <f t="shared" si="5"/>
        <v>KOTA_KINABATANGAN</v>
      </c>
      <c r="E66" t="str" cm="1">
        <f t="array" ref="E66">_xlfn.REDUCE(D66, _xlfn.SEQUENCE(ROWS(Abbreviations!$A$2:$A$12)), _xlfn.LAMBDA(_xlpm.text,_xlpm.i, SUBSTITUTE(_xlpm.text, INDEX(Abbreviations!$A$2:$A$12, _xlpm.i), INDEX(Abbreviations!$B$2:$B$12, _xlpm.i))))</f>
        <v>KOTA_KINABATANGAN</v>
      </c>
      <c r="F66" t="s">
        <v>368</v>
      </c>
      <c r="G66" t="str">
        <f t="shared" ref="G66:G97" si="9">B66</f>
        <v>Kota Kinabatangan</v>
      </c>
      <c r="H66" t="str">
        <f t="shared" si="4"/>
        <v>Kota Kinabatangan</v>
      </c>
      <c r="I66" s="5">
        <f t="shared" ref="I66:I97" si="10">(MID(C66,1,2) + MID(C66,3,2)/60 + MID(C66,5,2)/3600) * IF(MID(C66,7,1)="S",-1,1)</f>
        <v>5.5888888888888886</v>
      </c>
      <c r="J66" s="5">
        <f t="shared" ref="J66:J97" si="11">(MID(C66,9,3) + MID(C66,12,2)/60 + MID(C66,14,2)/3600) * IF(MID(C66,16,1)="W",-1,1)</f>
        <v>117.845</v>
      </c>
    </row>
    <row r="67" spans="1:10" x14ac:dyDescent="0.25">
      <c r="A67" t="s">
        <v>113</v>
      </c>
      <c r="B67" t="s">
        <v>113</v>
      </c>
      <c r="C67" t="s">
        <v>133</v>
      </c>
      <c r="D67" t="str">
        <f t="shared" si="5"/>
        <v>KAMPUNG_KUALA_LOKAN</v>
      </c>
      <c r="E67" t="str" cm="1">
        <f t="array" ref="E67">_xlfn.REDUCE(D67, _xlfn.SEQUENCE(ROWS(Abbreviations!$A$2:$A$12)), _xlfn.LAMBDA(_xlpm.text,_xlpm.i, SUBSTITUTE(_xlpm.text, INDEX(Abbreviations!$A$2:$A$12, _xlpm.i), INDEX(Abbreviations!$B$2:$B$12, _xlpm.i))))</f>
        <v>KG_KUALA_LOKAN</v>
      </c>
      <c r="F67" t="s">
        <v>369</v>
      </c>
      <c r="G67" t="str">
        <f t="shared" si="9"/>
        <v>Kampung Kuala Lokan</v>
      </c>
      <c r="H67" t="str">
        <f t="shared" ref="H67:H130" si="12">LEFT(G67,25)</f>
        <v>Kampung Kuala Lokan</v>
      </c>
      <c r="I67" s="5">
        <f t="shared" si="10"/>
        <v>5.4369444444444444</v>
      </c>
      <c r="J67" s="5">
        <f t="shared" si="11"/>
        <v>117.74861111111112</v>
      </c>
    </row>
    <row r="68" spans="1:10" x14ac:dyDescent="0.25">
      <c r="A68" t="s">
        <v>256</v>
      </c>
      <c r="B68" t="s">
        <v>256</v>
      </c>
      <c r="C68" t="s">
        <v>134</v>
      </c>
      <c r="D68" t="str">
        <f t="shared" si="5"/>
        <v>MILE_32_RD_JUNCTION</v>
      </c>
      <c r="E68" t="str" cm="1">
        <f t="array" ref="E68">_xlfn.REDUCE(D68, _xlfn.SEQUENCE(ROWS(Abbreviations!$A$2:$A$12)), _xlfn.LAMBDA(_xlpm.text,_xlpm.i, SUBSTITUTE(_xlpm.text, INDEX(Abbreviations!$A$2:$A$12, _xlpm.i), INDEX(Abbreviations!$B$2:$B$12, _xlpm.i))))</f>
        <v>MILE_32_RD_JUNCTION</v>
      </c>
      <c r="F68" t="s">
        <v>397</v>
      </c>
      <c r="G68" t="str">
        <f t="shared" si="9"/>
        <v>Mile 32 Rd Junction</v>
      </c>
      <c r="H68" t="str">
        <f t="shared" si="12"/>
        <v>Mile 32 Rd Junction</v>
      </c>
      <c r="I68" s="5">
        <f t="shared" si="10"/>
        <v>5.7577777777777781</v>
      </c>
      <c r="J68" s="5">
        <f t="shared" si="11"/>
        <v>117.75861111111111</v>
      </c>
    </row>
    <row r="69" spans="1:10" x14ac:dyDescent="0.25">
      <c r="A69" t="s">
        <v>114</v>
      </c>
      <c r="B69" t="s">
        <v>114</v>
      </c>
      <c r="C69" t="s">
        <v>135</v>
      </c>
      <c r="D69" t="str">
        <f t="shared" si="5"/>
        <v>TELUPID</v>
      </c>
      <c r="E69" t="str" cm="1">
        <f t="array" ref="E69">_xlfn.REDUCE(D69, _xlfn.SEQUENCE(ROWS(Abbreviations!$A$2:$A$12)), _xlfn.LAMBDA(_xlpm.text,_xlpm.i, SUBSTITUTE(_xlpm.text, INDEX(Abbreviations!$A$2:$A$12, _xlpm.i), INDEX(Abbreviations!$B$2:$B$12, _xlpm.i))))</f>
        <v>TELUPID</v>
      </c>
      <c r="F69" t="s">
        <v>370</v>
      </c>
      <c r="G69" t="str">
        <f t="shared" si="9"/>
        <v>Telupid</v>
      </c>
      <c r="H69" t="str">
        <f t="shared" si="12"/>
        <v>Telupid</v>
      </c>
      <c r="I69" s="5">
        <f t="shared" si="10"/>
        <v>5.6275000000000004</v>
      </c>
      <c r="J69" s="5">
        <f t="shared" si="11"/>
        <v>117.13055555555555</v>
      </c>
    </row>
    <row r="70" spans="1:10" x14ac:dyDescent="0.25">
      <c r="A70" t="s">
        <v>273</v>
      </c>
      <c r="B70" t="s">
        <v>273</v>
      </c>
      <c r="C70" t="s">
        <v>136</v>
      </c>
      <c r="D70" t="str">
        <f t="shared" si="5"/>
        <v>KAMPUNG_GUMGUM_LAUT</v>
      </c>
      <c r="E70" t="str" cm="1">
        <f t="array" ref="E70">_xlfn.REDUCE(D70, _xlfn.SEQUENCE(ROWS(Abbreviations!$A$2:$A$12)), _xlfn.LAMBDA(_xlpm.text,_xlpm.i, SUBSTITUTE(_xlpm.text, INDEX(Abbreviations!$A$2:$A$12, _xlpm.i), INDEX(Abbreviations!$B$2:$B$12, _xlpm.i))))</f>
        <v>KG_GUMGUM_LAUT</v>
      </c>
      <c r="F70" t="s">
        <v>371</v>
      </c>
      <c r="G70" t="str">
        <f t="shared" si="9"/>
        <v>Kampung GumGum Laut</v>
      </c>
      <c r="H70" t="str">
        <f t="shared" si="12"/>
        <v>Kampung GumGum Laut</v>
      </c>
      <c r="I70" s="5">
        <f t="shared" si="10"/>
        <v>5.969444444444445</v>
      </c>
      <c r="J70" s="5">
        <f t="shared" si="11"/>
        <v>117.90972222222223</v>
      </c>
    </row>
    <row r="71" spans="1:10" x14ac:dyDescent="0.25">
      <c r="A71" t="s">
        <v>115</v>
      </c>
      <c r="B71" t="s">
        <v>115</v>
      </c>
      <c r="C71" t="s">
        <v>137</v>
      </c>
      <c r="D71" t="str">
        <f t="shared" si="5"/>
        <v>KAMPUNG_SEMAWANG</v>
      </c>
      <c r="E71" t="str" cm="1">
        <f t="array" ref="E71">_xlfn.REDUCE(D71, _xlfn.SEQUENCE(ROWS(Abbreviations!$A$2:$A$12)), _xlfn.LAMBDA(_xlpm.text,_xlpm.i, SUBSTITUTE(_xlpm.text, INDEX(Abbreviations!$A$2:$A$12, _xlpm.i), INDEX(Abbreviations!$B$2:$B$12, _xlpm.i))))</f>
        <v>KG_SEMAWANG</v>
      </c>
      <c r="F71" t="s">
        <v>372</v>
      </c>
      <c r="G71" t="str">
        <f t="shared" si="9"/>
        <v>Kampung Semawang</v>
      </c>
      <c r="H71" t="str">
        <f t="shared" si="12"/>
        <v>Kampung Semawang</v>
      </c>
      <c r="I71" s="5">
        <f t="shared" si="10"/>
        <v>5.9197222222222221</v>
      </c>
      <c r="J71" s="5">
        <f t="shared" si="11"/>
        <v>117.76222222222222</v>
      </c>
    </row>
    <row r="72" spans="1:10" x14ac:dyDescent="0.25">
      <c r="A72" t="s">
        <v>116</v>
      </c>
      <c r="B72" t="s">
        <v>116</v>
      </c>
      <c r="C72" t="s">
        <v>138</v>
      </c>
      <c r="D72" t="str">
        <f t="shared" si="5"/>
        <v>BELURAN</v>
      </c>
      <c r="E72" t="str" cm="1">
        <f t="array" ref="E72">_xlfn.REDUCE(D72, _xlfn.SEQUENCE(ROWS(Abbreviations!$A$2:$A$12)), _xlfn.LAMBDA(_xlpm.text,_xlpm.i, SUBSTITUTE(_xlpm.text, INDEX(Abbreviations!$A$2:$A$12, _xlpm.i), INDEX(Abbreviations!$B$2:$B$12, _xlpm.i))))</f>
        <v>BELURAN</v>
      </c>
      <c r="F72" t="s">
        <v>373</v>
      </c>
      <c r="G72" t="str">
        <f t="shared" si="9"/>
        <v>Beluran</v>
      </c>
      <c r="H72" t="str">
        <f t="shared" si="12"/>
        <v>Beluran</v>
      </c>
      <c r="I72" s="5">
        <f t="shared" si="10"/>
        <v>5.8949999999999996</v>
      </c>
      <c r="J72" s="5">
        <f t="shared" si="11"/>
        <v>117.55694444444444</v>
      </c>
    </row>
    <row r="73" spans="1:10" x14ac:dyDescent="0.25">
      <c r="A73" t="s">
        <v>117</v>
      </c>
      <c r="B73" t="s">
        <v>117</v>
      </c>
      <c r="C73" t="s">
        <v>139</v>
      </c>
      <c r="D73" t="str">
        <f t="shared" si="5"/>
        <v>KENAWI_ISLAND</v>
      </c>
      <c r="E73" t="str" cm="1">
        <f t="array" ref="E73">_xlfn.REDUCE(D73, _xlfn.SEQUENCE(ROWS(Abbreviations!$A$2:$A$12)), _xlfn.LAMBDA(_xlpm.text,_xlpm.i, SUBSTITUTE(_xlpm.text, INDEX(Abbreviations!$A$2:$A$12, _xlpm.i), INDEX(Abbreviations!$B$2:$B$12, _xlpm.i))))</f>
        <v>KENAWI_IS</v>
      </c>
      <c r="F73" t="s">
        <v>374</v>
      </c>
      <c r="G73" t="str">
        <f t="shared" si="9"/>
        <v>Kenawi Island</v>
      </c>
      <c r="H73" t="str">
        <f t="shared" si="12"/>
        <v>Kenawi Island</v>
      </c>
      <c r="I73" s="5">
        <f t="shared" si="10"/>
        <v>5.9883333333333333</v>
      </c>
      <c r="J73" s="5">
        <f t="shared" si="11"/>
        <v>117.70194444444445</v>
      </c>
    </row>
    <row r="74" spans="1:10" x14ac:dyDescent="0.25">
      <c r="A74" t="s">
        <v>118</v>
      </c>
      <c r="B74" t="s">
        <v>118</v>
      </c>
      <c r="C74" t="s">
        <v>221</v>
      </c>
      <c r="D74" t="str">
        <f t="shared" si="5"/>
        <v>KAMPUNG_SUNGAI-SUNGAI</v>
      </c>
      <c r="E74" t="str" cm="1">
        <f t="array" ref="E74">_xlfn.REDUCE(D74, _xlfn.SEQUENCE(ROWS(Abbreviations!$A$2:$A$12)), _xlfn.LAMBDA(_xlpm.text,_xlpm.i, SUBSTITUTE(_xlpm.text, INDEX(Abbreviations!$A$2:$A$12, _xlpm.i), INDEX(Abbreviations!$B$2:$B$12, _xlpm.i))))</f>
        <v>KG_SG-SG</v>
      </c>
      <c r="F74" t="s">
        <v>375</v>
      </c>
      <c r="G74" t="str">
        <f t="shared" si="9"/>
        <v>Kampung Sungai-Sungai</v>
      </c>
      <c r="H74" t="str">
        <f t="shared" si="12"/>
        <v>Kampung Sungai-Sungai</v>
      </c>
      <c r="I74" s="5">
        <f t="shared" si="10"/>
        <v>6.2508333333333335</v>
      </c>
      <c r="J74" s="5">
        <f t="shared" si="11"/>
        <v>117.35111111111111</v>
      </c>
    </row>
    <row r="75" spans="1:10" x14ac:dyDescent="0.25">
      <c r="A75" t="s">
        <v>119</v>
      </c>
      <c r="B75" t="s">
        <v>119</v>
      </c>
      <c r="C75" t="s">
        <v>140</v>
      </c>
      <c r="D75" t="str">
        <f t="shared" si="5"/>
        <v>KAMPUNG_TERUSAN</v>
      </c>
      <c r="E75" t="str" cm="1">
        <f t="array" ref="E75">_xlfn.REDUCE(D75, _xlfn.SEQUENCE(ROWS(Abbreviations!$A$2:$A$12)), _xlfn.LAMBDA(_xlpm.text,_xlpm.i, SUBSTITUTE(_xlpm.text, INDEX(Abbreviations!$A$2:$A$12, _xlpm.i), INDEX(Abbreviations!$B$2:$B$12, _xlpm.i))))</f>
        <v>KG_TERUSAN</v>
      </c>
      <c r="F75" t="s">
        <v>376</v>
      </c>
      <c r="G75" t="str">
        <f t="shared" si="9"/>
        <v>Kampung Terusan</v>
      </c>
      <c r="H75" t="str">
        <f t="shared" si="12"/>
        <v>Kampung Terusan</v>
      </c>
      <c r="I75" s="5">
        <f t="shared" si="10"/>
        <v>6.4258333333333333</v>
      </c>
      <c r="J75" s="5">
        <f t="shared" si="11"/>
        <v>117.68722222222223</v>
      </c>
    </row>
    <row r="76" spans="1:10" x14ac:dyDescent="0.25">
      <c r="A76" t="s">
        <v>120</v>
      </c>
      <c r="B76" t="s">
        <v>120</v>
      </c>
      <c r="C76" t="s">
        <v>141</v>
      </c>
      <c r="D76" t="str">
        <f t="shared" si="5"/>
        <v>SELINGAN_ISLAND</v>
      </c>
      <c r="E76" t="str" cm="1">
        <f t="array" ref="E76">_xlfn.REDUCE(D76, _xlfn.SEQUENCE(ROWS(Abbreviations!$A$2:$A$12)), _xlfn.LAMBDA(_xlpm.text,_xlpm.i, SUBSTITUTE(_xlpm.text, INDEX(Abbreviations!$A$2:$A$12, _xlpm.i), INDEX(Abbreviations!$B$2:$B$12, _xlpm.i))))</f>
        <v>SELINGAN_IS</v>
      </c>
      <c r="F76" t="s">
        <v>377</v>
      </c>
      <c r="G76" t="str">
        <f t="shared" si="9"/>
        <v>Selingan Island</v>
      </c>
      <c r="H76" t="str">
        <f t="shared" si="12"/>
        <v>Selingan Island</v>
      </c>
      <c r="I76" s="5">
        <f t="shared" si="10"/>
        <v>6.1741666666666672</v>
      </c>
      <c r="J76" s="5">
        <f t="shared" si="11"/>
        <v>118.06055555555555</v>
      </c>
    </row>
    <row r="77" spans="1:10" x14ac:dyDescent="0.25">
      <c r="A77" t="s">
        <v>121</v>
      </c>
      <c r="B77" t="s">
        <v>121</v>
      </c>
      <c r="C77" t="s">
        <v>142</v>
      </c>
      <c r="D77" t="str">
        <f t="shared" si="5"/>
        <v>LANKAYAN_ISLAND</v>
      </c>
      <c r="E77" t="str" cm="1">
        <f t="array" ref="E77">_xlfn.REDUCE(D77, _xlfn.SEQUENCE(ROWS(Abbreviations!$A$2:$A$12)), _xlfn.LAMBDA(_xlpm.text,_xlpm.i, SUBSTITUTE(_xlpm.text, INDEX(Abbreviations!$A$2:$A$12, _xlpm.i), INDEX(Abbreviations!$B$2:$B$12, _xlpm.i))))</f>
        <v>LANKAYAN_IS</v>
      </c>
      <c r="F77" t="s">
        <v>378</v>
      </c>
      <c r="G77" t="str">
        <f t="shared" si="9"/>
        <v>Lankayan Island</v>
      </c>
      <c r="H77" t="str">
        <f t="shared" si="12"/>
        <v>Lankayan Island</v>
      </c>
      <c r="I77" s="5">
        <f t="shared" si="10"/>
        <v>6.5</v>
      </c>
      <c r="J77" s="5">
        <f t="shared" si="11"/>
        <v>117.91666666666667</v>
      </c>
    </row>
    <row r="78" spans="1:10" x14ac:dyDescent="0.25">
      <c r="A78" t="s">
        <v>122</v>
      </c>
      <c r="B78" t="s">
        <v>122</v>
      </c>
      <c r="C78" t="s">
        <v>143</v>
      </c>
      <c r="D78" t="str">
        <f t="shared" si="5"/>
        <v>SOUTH_OF_BERHALA_ISLAND</v>
      </c>
      <c r="E78" t="str" cm="1">
        <f t="array" ref="E78">_xlfn.REDUCE(D78, _xlfn.SEQUENCE(ROWS(Abbreviations!$A$2:$A$12)), _xlfn.LAMBDA(_xlpm.text,_xlpm.i, SUBSTITUTE(_xlpm.text, INDEX(Abbreviations!$A$2:$A$12, _xlpm.i), INDEX(Abbreviations!$B$2:$B$12, _xlpm.i))))</f>
        <v>SOUTH_BERHALA_IS</v>
      </c>
      <c r="F78" t="s">
        <v>379</v>
      </c>
      <c r="G78" t="str">
        <f t="shared" si="9"/>
        <v>South of Berhala Island</v>
      </c>
      <c r="H78" t="str">
        <f t="shared" si="12"/>
        <v>South of Berhala Island</v>
      </c>
      <c r="I78" s="5">
        <f t="shared" si="10"/>
        <v>5.8641666666666667</v>
      </c>
      <c r="J78" s="5">
        <f t="shared" si="11"/>
        <v>118.14833333333334</v>
      </c>
    </row>
    <row r="79" spans="1:10" x14ac:dyDescent="0.25">
      <c r="A79" t="s">
        <v>123</v>
      </c>
      <c r="B79" t="s">
        <v>123</v>
      </c>
      <c r="C79" t="s">
        <v>144</v>
      </c>
      <c r="D79" t="str">
        <f t="shared" si="5"/>
        <v>LUANG_MANIS</v>
      </c>
      <c r="E79" t="str" cm="1">
        <f t="array" ref="E79">_xlfn.REDUCE(D79, _xlfn.SEQUENCE(ROWS(Abbreviations!$A$2:$A$12)), _xlfn.LAMBDA(_xlpm.text,_xlpm.i, SUBSTITUTE(_xlpm.text, INDEX(Abbreviations!$A$2:$A$12, _xlpm.i), INDEX(Abbreviations!$B$2:$B$12, _xlpm.i))))</f>
        <v>LUANG_MANIS</v>
      </c>
      <c r="F79" t="s">
        <v>380</v>
      </c>
      <c r="G79" t="str">
        <f t="shared" si="9"/>
        <v>Luang Manis</v>
      </c>
      <c r="H79" t="str">
        <f t="shared" si="12"/>
        <v>Luang Manis</v>
      </c>
      <c r="I79" s="5">
        <f t="shared" si="10"/>
        <v>5.666666666666667</v>
      </c>
      <c r="J79" s="5">
        <f t="shared" si="11"/>
        <v>117.655</v>
      </c>
    </row>
    <row r="80" spans="1:10" x14ac:dyDescent="0.25">
      <c r="A80" t="s">
        <v>124</v>
      </c>
      <c r="B80" t="s">
        <v>124</v>
      </c>
      <c r="C80" t="s">
        <v>145</v>
      </c>
      <c r="D80" t="str">
        <f t="shared" si="5"/>
        <v>PAMAGUAN_PRIMARY_SCHOOL</v>
      </c>
      <c r="E80" t="str" cm="1">
        <f t="array" ref="E80">_xlfn.REDUCE(D80, _xlfn.SEQUENCE(ROWS(Abbreviations!$A$2:$A$12)), _xlfn.LAMBDA(_xlpm.text,_xlpm.i, SUBSTITUTE(_xlpm.text, INDEX(Abbreviations!$A$2:$A$12, _xlpm.i), INDEX(Abbreviations!$B$2:$B$12, _xlpm.i))))</f>
        <v>PAMAGUAN_PRIMARY_SCHOOL</v>
      </c>
      <c r="F80" t="s">
        <v>394</v>
      </c>
      <c r="G80" t="str">
        <f t="shared" si="9"/>
        <v>Pamaguan Primary School</v>
      </c>
      <c r="H80" t="str">
        <f t="shared" si="12"/>
        <v>Pamaguan Primary School</v>
      </c>
      <c r="I80" s="5">
        <f t="shared" si="10"/>
        <v>5.9575000000000005</v>
      </c>
      <c r="J80" s="5">
        <f t="shared" si="11"/>
        <v>118.06444444444445</v>
      </c>
    </row>
    <row r="81" spans="1:10" x14ac:dyDescent="0.25">
      <c r="A81" t="s">
        <v>146</v>
      </c>
      <c r="B81" t="s">
        <v>146</v>
      </c>
      <c r="C81" t="s">
        <v>186</v>
      </c>
      <c r="D81" t="str">
        <f t="shared" si="5"/>
        <v>PORT_WELD</v>
      </c>
      <c r="E81" t="str" cm="1">
        <f t="array" ref="E81">_xlfn.REDUCE(D81, _xlfn.SEQUENCE(ROWS(Abbreviations!$A$2:$A$12)), _xlfn.LAMBDA(_xlpm.text,_xlpm.i, SUBSTITUTE(_xlpm.text, INDEX(Abbreviations!$A$2:$A$12, _xlpm.i), INDEX(Abbreviations!$B$2:$B$12, _xlpm.i))))</f>
        <v>PORT_WELD</v>
      </c>
      <c r="F81" t="s">
        <v>315</v>
      </c>
      <c r="G81" t="str">
        <f t="shared" si="9"/>
        <v>Port Weld</v>
      </c>
      <c r="H81" t="str">
        <f t="shared" si="12"/>
        <v>Port Weld</v>
      </c>
      <c r="I81" s="5">
        <f t="shared" si="10"/>
        <v>4.8380555555555551</v>
      </c>
      <c r="J81" s="5">
        <f t="shared" si="11"/>
        <v>100.62583333333333</v>
      </c>
    </row>
    <row r="82" spans="1:10" x14ac:dyDescent="0.25">
      <c r="A82" t="s">
        <v>147</v>
      </c>
      <c r="B82" t="s">
        <v>147</v>
      </c>
      <c r="C82" t="s">
        <v>187</v>
      </c>
      <c r="D82" t="str">
        <f t="shared" si="5"/>
        <v>TANJUNG_PIANDANG</v>
      </c>
      <c r="E82" t="str" cm="1">
        <f t="array" ref="E82">_xlfn.REDUCE(D82, _xlfn.SEQUENCE(ROWS(Abbreviations!$A$2:$A$12)), _xlfn.LAMBDA(_xlpm.text,_xlpm.i, SUBSTITUTE(_xlpm.text, INDEX(Abbreviations!$A$2:$A$12, _xlpm.i), INDEX(Abbreviations!$B$2:$B$12, _xlpm.i))))</f>
        <v>TJ_PIANDANG</v>
      </c>
      <c r="F82" t="s">
        <v>314</v>
      </c>
      <c r="G82" t="str">
        <f t="shared" si="9"/>
        <v>Tanjung Piandang</v>
      </c>
      <c r="H82" t="str">
        <f t="shared" si="12"/>
        <v>Tanjung Piandang</v>
      </c>
      <c r="I82" s="5">
        <f t="shared" si="10"/>
        <v>5.0880555555555551</v>
      </c>
      <c r="J82" s="5">
        <f t="shared" si="11"/>
        <v>100.36055555555555</v>
      </c>
    </row>
    <row r="83" spans="1:10" x14ac:dyDescent="0.25">
      <c r="A83" t="s">
        <v>148</v>
      </c>
      <c r="B83" t="s">
        <v>148</v>
      </c>
      <c r="C83" t="s">
        <v>188</v>
      </c>
      <c r="D83" t="str">
        <f t="shared" si="5"/>
        <v>SOUTH_OF_PULAU_AMAN</v>
      </c>
      <c r="E83" t="str" cm="1">
        <f t="array" ref="E83">_xlfn.REDUCE(D83, _xlfn.SEQUENCE(ROWS(Abbreviations!$A$2:$A$12)), _xlfn.LAMBDA(_xlpm.text,_xlpm.i, SUBSTITUTE(_xlpm.text, INDEX(Abbreviations!$A$2:$A$12, _xlpm.i), INDEX(Abbreviations!$B$2:$B$12, _xlpm.i))))</f>
        <v>SOUTH_P_AMAN</v>
      </c>
      <c r="F83" t="s">
        <v>318</v>
      </c>
      <c r="G83" t="str">
        <f t="shared" si="9"/>
        <v>South of Pulau Aman</v>
      </c>
      <c r="H83" t="str">
        <f t="shared" si="12"/>
        <v>South of Pulau Aman</v>
      </c>
      <c r="I83" s="5">
        <f t="shared" si="10"/>
        <v>5.2586111111111107</v>
      </c>
      <c r="J83" s="5">
        <f t="shared" si="11"/>
        <v>100.38416666666667</v>
      </c>
    </row>
    <row r="84" spans="1:10" x14ac:dyDescent="0.25">
      <c r="A84" t="s">
        <v>149</v>
      </c>
      <c r="B84" t="s">
        <v>149</v>
      </c>
      <c r="C84" t="s">
        <v>189</v>
      </c>
      <c r="D84" t="str">
        <f t="shared" si="5"/>
        <v>KEDAH_PEAK_WEST</v>
      </c>
      <c r="E84" t="str" cm="1">
        <f t="array" ref="E84">_xlfn.REDUCE(D84, _xlfn.SEQUENCE(ROWS(Abbreviations!$A$2:$A$12)), _xlfn.LAMBDA(_xlpm.text,_xlpm.i, SUBSTITUTE(_xlpm.text, INDEX(Abbreviations!$A$2:$A$12, _xlpm.i), INDEX(Abbreviations!$B$2:$B$12, _xlpm.i))))</f>
        <v>KEDAH_PEAK_WEST</v>
      </c>
      <c r="F84" t="s">
        <v>313</v>
      </c>
      <c r="G84" t="str">
        <f t="shared" si="9"/>
        <v>Kedah Peak West</v>
      </c>
      <c r="H84" t="str">
        <f t="shared" si="12"/>
        <v>Kedah Peak West</v>
      </c>
      <c r="I84" s="5">
        <f t="shared" si="10"/>
        <v>5.743611111111111</v>
      </c>
      <c r="J84" s="5">
        <f t="shared" si="11"/>
        <v>100.35694444444444</v>
      </c>
    </row>
    <row r="85" spans="1:10" x14ac:dyDescent="0.25">
      <c r="A85" t="s">
        <v>150</v>
      </c>
      <c r="B85" t="s">
        <v>150</v>
      </c>
      <c r="C85" t="s">
        <v>190</v>
      </c>
      <c r="D85" t="str">
        <f t="shared" si="5"/>
        <v>KUALA_SUNGAI_MUDA</v>
      </c>
      <c r="E85" t="str" cm="1">
        <f t="array" ref="E85">_xlfn.REDUCE(D85, _xlfn.SEQUENCE(ROWS(Abbreviations!$A$2:$A$12)), _xlfn.LAMBDA(_xlpm.text,_xlpm.i, SUBSTITUTE(_xlpm.text, INDEX(Abbreviations!$A$2:$A$12, _xlpm.i), INDEX(Abbreviations!$B$2:$B$12, _xlpm.i))))</f>
        <v>KUALA_SG_MUDA</v>
      </c>
      <c r="F85" t="s">
        <v>312</v>
      </c>
      <c r="G85" t="str">
        <f t="shared" si="9"/>
        <v>Kuala Sungai Muda</v>
      </c>
      <c r="H85" t="str">
        <f t="shared" si="12"/>
        <v>Kuala Sungai Muda</v>
      </c>
      <c r="I85" s="5">
        <f t="shared" si="10"/>
        <v>5.5774999999999997</v>
      </c>
      <c r="J85" s="5">
        <f t="shared" si="11"/>
        <v>100.33583333333333</v>
      </c>
    </row>
    <row r="86" spans="1:10" x14ac:dyDescent="0.25">
      <c r="A86" t="s">
        <v>151</v>
      </c>
      <c r="B86" t="s">
        <v>151</v>
      </c>
      <c r="C86" t="s">
        <v>191</v>
      </c>
      <c r="D86" t="str">
        <f t="shared" si="5"/>
        <v>NORTH_OF_GEORGE_TOWN</v>
      </c>
      <c r="E86" t="str" cm="1">
        <f t="array" ref="E86">_xlfn.REDUCE(D86, _xlfn.SEQUENCE(ROWS(Abbreviations!$A$2:$A$12)), _xlfn.LAMBDA(_xlpm.text,_xlpm.i, SUBSTITUTE(_xlpm.text, INDEX(Abbreviations!$A$2:$A$12, _xlpm.i), INDEX(Abbreviations!$B$2:$B$12, _xlpm.i))))</f>
        <v>NORTH_GEORGE_TOWN</v>
      </c>
      <c r="F86" t="s">
        <v>311</v>
      </c>
      <c r="G86" t="str">
        <f t="shared" si="9"/>
        <v>North of George Town</v>
      </c>
      <c r="H86" t="str">
        <f t="shared" si="12"/>
        <v>North of George Town</v>
      </c>
      <c r="I86" s="5">
        <f t="shared" si="10"/>
        <v>5.464722222222222</v>
      </c>
      <c r="J86" s="5">
        <f t="shared" si="11"/>
        <v>100.30722222222222</v>
      </c>
    </row>
    <row r="87" spans="1:10" x14ac:dyDescent="0.25">
      <c r="A87" t="s">
        <v>152</v>
      </c>
      <c r="B87" t="s">
        <v>152</v>
      </c>
      <c r="C87" t="s">
        <v>153</v>
      </c>
      <c r="D87" t="str">
        <f t="shared" si="5"/>
        <v>WEST_OF_PULAU_GAYA</v>
      </c>
      <c r="E87" t="str" cm="1">
        <f t="array" ref="E87">_xlfn.REDUCE(D87, _xlfn.SEQUENCE(ROWS(Abbreviations!$A$2:$A$12)), _xlfn.LAMBDA(_xlpm.text,_xlpm.i, SUBSTITUTE(_xlpm.text, INDEX(Abbreviations!$A$2:$A$12, _xlpm.i), INDEX(Abbreviations!$B$2:$B$12, _xlpm.i))))</f>
        <v>WEST_P_GAYA</v>
      </c>
      <c r="F87" t="s">
        <v>310</v>
      </c>
      <c r="G87" t="str">
        <f t="shared" si="9"/>
        <v>West of Pulau Gaya</v>
      </c>
      <c r="H87" t="str">
        <f t="shared" si="12"/>
        <v>West of Pulau Gaya</v>
      </c>
      <c r="I87" s="5">
        <f t="shared" si="10"/>
        <v>6.05</v>
      </c>
      <c r="J87" s="5">
        <f t="shared" si="11"/>
        <v>116</v>
      </c>
    </row>
    <row r="88" spans="1:10" x14ac:dyDescent="0.25">
      <c r="A88" t="s">
        <v>154</v>
      </c>
      <c r="B88" t="s">
        <v>154</v>
      </c>
      <c r="C88" t="s">
        <v>155</v>
      </c>
      <c r="D88" t="str">
        <f t="shared" si="5"/>
        <v>PULAU_SULUG</v>
      </c>
      <c r="E88" t="str" cm="1">
        <f t="array" ref="E88">_xlfn.REDUCE(D88, _xlfn.SEQUENCE(ROWS(Abbreviations!$A$2:$A$12)), _xlfn.LAMBDA(_xlpm.text,_xlpm.i, SUBSTITUTE(_xlpm.text, INDEX(Abbreviations!$A$2:$A$12, _xlpm.i), INDEX(Abbreviations!$B$2:$B$12, _xlpm.i))))</f>
        <v>P_SULUG</v>
      </c>
      <c r="F88" t="s">
        <v>308</v>
      </c>
      <c r="G88" t="str">
        <f t="shared" si="9"/>
        <v>Pulau Sulug</v>
      </c>
      <c r="H88" t="str">
        <f t="shared" si="12"/>
        <v>Pulau Sulug</v>
      </c>
      <c r="I88" s="5">
        <f t="shared" si="10"/>
        <v>5.9611111111111112</v>
      </c>
      <c r="J88" s="5">
        <f t="shared" si="11"/>
        <v>115.99166666666667</v>
      </c>
    </row>
    <row r="89" spans="1:10" x14ac:dyDescent="0.25">
      <c r="A89" t="s">
        <v>156</v>
      </c>
      <c r="B89" t="s">
        <v>156</v>
      </c>
      <c r="C89" t="s">
        <v>157</v>
      </c>
      <c r="D89" t="str">
        <f t="shared" si="5"/>
        <v>PULAU_TIGA</v>
      </c>
      <c r="E89" t="str" cm="1">
        <f t="array" ref="E89">_xlfn.REDUCE(D89, _xlfn.SEQUENCE(ROWS(Abbreviations!$A$2:$A$12)), _xlfn.LAMBDA(_xlpm.text,_xlpm.i, SUBSTITUTE(_xlpm.text, INDEX(Abbreviations!$A$2:$A$12, _xlpm.i), INDEX(Abbreviations!$B$2:$B$12, _xlpm.i))))</f>
        <v>P_TIGA</v>
      </c>
      <c r="F89" t="s">
        <v>309</v>
      </c>
      <c r="G89" t="str">
        <f t="shared" si="9"/>
        <v>Pulau Tiga</v>
      </c>
      <c r="H89" t="str">
        <f t="shared" si="12"/>
        <v>Pulau Tiga</v>
      </c>
      <c r="I89" s="5">
        <f t="shared" si="10"/>
        <v>5.75</v>
      </c>
      <c r="J89" s="5">
        <f t="shared" si="11"/>
        <v>115.65833333333335</v>
      </c>
    </row>
    <row r="90" spans="1:10" x14ac:dyDescent="0.25">
      <c r="A90" t="s">
        <v>158</v>
      </c>
      <c r="B90" t="s">
        <v>158</v>
      </c>
      <c r="C90" t="s">
        <v>159</v>
      </c>
      <c r="D90" t="str">
        <f t="shared" si="5"/>
        <v>KUALA_PENYU</v>
      </c>
      <c r="E90" t="str" cm="1">
        <f t="array" ref="E90">_xlfn.REDUCE(D90, _xlfn.SEQUENCE(ROWS(Abbreviations!$A$2:$A$12)), _xlfn.LAMBDA(_xlpm.text,_xlpm.i, SUBSTITUTE(_xlpm.text, INDEX(Abbreviations!$A$2:$A$12, _xlpm.i), INDEX(Abbreviations!$B$2:$B$12, _xlpm.i))))</f>
        <v>KUALA_PENYU</v>
      </c>
      <c r="F90" t="s">
        <v>381</v>
      </c>
      <c r="G90" t="str">
        <f t="shared" si="9"/>
        <v>Kuala Penyu</v>
      </c>
      <c r="H90" t="str">
        <f t="shared" si="12"/>
        <v>Kuala Penyu</v>
      </c>
      <c r="I90" s="5">
        <f t="shared" si="10"/>
        <v>5.5666666666666664</v>
      </c>
      <c r="J90" s="5">
        <f t="shared" si="11"/>
        <v>115.6</v>
      </c>
    </row>
    <row r="91" spans="1:10" x14ac:dyDescent="0.25">
      <c r="A91" t="s">
        <v>160</v>
      </c>
      <c r="B91" t="s">
        <v>160</v>
      </c>
      <c r="C91" t="s">
        <v>161</v>
      </c>
      <c r="D91" t="str">
        <f t="shared" si="5"/>
        <v>BONGAWAN</v>
      </c>
      <c r="E91" t="str" cm="1">
        <f t="array" ref="E91">_xlfn.REDUCE(D91, _xlfn.SEQUENCE(ROWS(Abbreviations!$A$2:$A$12)), _xlfn.LAMBDA(_xlpm.text,_xlpm.i, SUBSTITUTE(_xlpm.text, INDEX(Abbreviations!$A$2:$A$12, _xlpm.i), INDEX(Abbreviations!$B$2:$B$12, _xlpm.i))))</f>
        <v>BONGAWAN</v>
      </c>
      <c r="F91" t="s">
        <v>382</v>
      </c>
      <c r="G91" t="str">
        <f t="shared" si="9"/>
        <v>Bongawan</v>
      </c>
      <c r="H91" t="str">
        <f t="shared" si="12"/>
        <v>Bongawan</v>
      </c>
      <c r="I91" s="5">
        <f t="shared" si="10"/>
        <v>5.5388888888888888</v>
      </c>
      <c r="J91" s="5">
        <f t="shared" si="11"/>
        <v>115.85777777777777</v>
      </c>
    </row>
    <row r="92" spans="1:10" x14ac:dyDescent="0.25">
      <c r="A92" t="s">
        <v>162</v>
      </c>
      <c r="B92" t="s">
        <v>162</v>
      </c>
      <c r="C92" t="s">
        <v>163</v>
      </c>
      <c r="D92" t="str">
        <f t="shared" ref="D92:D156" si="13">SUBSTITUTE(UPPER(A92), " ", "_")</f>
        <v>EAST_OF_PAPAR</v>
      </c>
      <c r="E92" t="str" cm="1">
        <f t="array" ref="E92">_xlfn.REDUCE(D92, _xlfn.SEQUENCE(ROWS(Abbreviations!$A$2:$A$12)), _xlfn.LAMBDA(_xlpm.text,_xlpm.i, SUBSTITUTE(_xlpm.text, INDEX(Abbreviations!$A$2:$A$12, _xlpm.i), INDEX(Abbreviations!$B$2:$B$12, _xlpm.i))))</f>
        <v>EAST_PAPAR</v>
      </c>
      <c r="F92" t="s">
        <v>383</v>
      </c>
      <c r="G92" t="str">
        <f t="shared" si="9"/>
        <v>East of Papar</v>
      </c>
      <c r="H92" t="str">
        <f t="shared" si="12"/>
        <v>East of Papar</v>
      </c>
      <c r="I92" s="5">
        <f t="shared" si="10"/>
        <v>5.7</v>
      </c>
      <c r="J92" s="5">
        <f t="shared" si="11"/>
        <v>116.01666666666667</v>
      </c>
    </row>
    <row r="93" spans="1:10" x14ac:dyDescent="0.25">
      <c r="A93" t="s">
        <v>164</v>
      </c>
      <c r="B93" t="s">
        <v>164</v>
      </c>
      <c r="C93" t="s">
        <v>165</v>
      </c>
      <c r="D93" t="str">
        <f t="shared" si="13"/>
        <v>EAST_OF_KAWANG</v>
      </c>
      <c r="E93" t="str" cm="1">
        <f t="array" ref="E93">_xlfn.REDUCE(D93, _xlfn.SEQUENCE(ROWS(Abbreviations!$A$2:$A$12)), _xlfn.LAMBDA(_xlpm.text,_xlpm.i, SUBSTITUTE(_xlpm.text, INDEX(Abbreviations!$A$2:$A$12, _xlpm.i), INDEX(Abbreviations!$B$2:$B$12, _xlpm.i))))</f>
        <v>EAST_KAWANG</v>
      </c>
      <c r="F93" t="s">
        <v>384</v>
      </c>
      <c r="G93" t="str">
        <f t="shared" si="9"/>
        <v>East of Kawang</v>
      </c>
      <c r="H93" t="str">
        <f t="shared" si="12"/>
        <v>East of Kawang</v>
      </c>
      <c r="I93" s="5">
        <f t="shared" si="10"/>
        <v>5.7666666666666666</v>
      </c>
      <c r="J93" s="5">
        <f t="shared" si="11"/>
        <v>116.05</v>
      </c>
    </row>
    <row r="94" spans="1:10" x14ac:dyDescent="0.25">
      <c r="A94" t="s">
        <v>166</v>
      </c>
      <c r="B94" t="s">
        <v>166</v>
      </c>
      <c r="C94" t="s">
        <v>167</v>
      </c>
      <c r="D94" t="str">
        <f t="shared" si="13"/>
        <v>EAST_OF_KINARUT_TOWN</v>
      </c>
      <c r="E94" t="str" cm="1">
        <f t="array" ref="E94">_xlfn.REDUCE(D94, _xlfn.SEQUENCE(ROWS(Abbreviations!$A$2:$A$12)), _xlfn.LAMBDA(_xlpm.text,_xlpm.i, SUBSTITUTE(_xlpm.text, INDEX(Abbreviations!$A$2:$A$12, _xlpm.i), INDEX(Abbreviations!$B$2:$B$12, _xlpm.i))))</f>
        <v>EAST_KINARUT_TOWN</v>
      </c>
      <c r="F94" t="s">
        <v>385</v>
      </c>
      <c r="G94" t="str">
        <f t="shared" si="9"/>
        <v>East of Kinarut Town</v>
      </c>
      <c r="H94" t="str">
        <f t="shared" si="12"/>
        <v>East of Kinarut Town</v>
      </c>
      <c r="I94" s="5">
        <f t="shared" si="10"/>
        <v>5.8183333333333334</v>
      </c>
      <c r="J94" s="5">
        <f t="shared" si="11"/>
        <v>116.07194444444444</v>
      </c>
    </row>
    <row r="95" spans="1:10" x14ac:dyDescent="0.25">
      <c r="A95" t="s">
        <v>168</v>
      </c>
      <c r="B95" t="s">
        <v>168</v>
      </c>
      <c r="C95" t="s">
        <v>169</v>
      </c>
      <c r="D95" t="str">
        <f t="shared" si="13"/>
        <v>KEPAYAN</v>
      </c>
      <c r="E95" t="str" cm="1">
        <f t="array" ref="E95">_xlfn.REDUCE(D95, _xlfn.SEQUENCE(ROWS(Abbreviations!$A$2:$A$12)), _xlfn.LAMBDA(_xlpm.text,_xlpm.i, SUBSTITUTE(_xlpm.text, INDEX(Abbreviations!$A$2:$A$12, _xlpm.i), INDEX(Abbreviations!$B$2:$B$12, _xlpm.i))))</f>
        <v>KEPAYAN</v>
      </c>
      <c r="F95" t="s">
        <v>386</v>
      </c>
      <c r="G95" t="str">
        <f t="shared" si="9"/>
        <v>Kepayan</v>
      </c>
      <c r="H95" t="str">
        <f t="shared" si="12"/>
        <v>Kepayan</v>
      </c>
      <c r="I95" s="5">
        <f t="shared" si="10"/>
        <v>5.9258333333333333</v>
      </c>
      <c r="J95" s="5">
        <f t="shared" si="11"/>
        <v>116.05833333333334</v>
      </c>
    </row>
    <row r="96" spans="1:10" x14ac:dyDescent="0.25">
      <c r="A96" t="s">
        <v>170</v>
      </c>
      <c r="B96" t="s">
        <v>170</v>
      </c>
      <c r="C96" t="s">
        <v>171</v>
      </c>
      <c r="D96" t="str">
        <f t="shared" si="13"/>
        <v>EAST_OF_INANAM_TOWN</v>
      </c>
      <c r="E96" t="str" cm="1">
        <f t="array" ref="E96">_xlfn.REDUCE(D96, _xlfn.SEQUENCE(ROWS(Abbreviations!$A$2:$A$12)), _xlfn.LAMBDA(_xlpm.text,_xlpm.i, SUBSTITUTE(_xlpm.text, INDEX(Abbreviations!$A$2:$A$12, _xlpm.i), INDEX(Abbreviations!$B$2:$B$12, _xlpm.i))))</f>
        <v>EAST_INANAM_TOWN</v>
      </c>
      <c r="F96" t="s">
        <v>387</v>
      </c>
      <c r="G96" t="str">
        <f t="shared" si="9"/>
        <v>East of Inanam Town</v>
      </c>
      <c r="H96" t="str">
        <f t="shared" si="12"/>
        <v>East of Inanam Town</v>
      </c>
      <c r="I96" s="5">
        <f t="shared" si="10"/>
        <v>5.9955555555555557</v>
      </c>
      <c r="J96" s="5">
        <f t="shared" si="11"/>
        <v>116.15138888888889</v>
      </c>
    </row>
    <row r="97" spans="1:10" x14ac:dyDescent="0.25">
      <c r="A97" t="s">
        <v>172</v>
      </c>
      <c r="B97" t="s">
        <v>172</v>
      </c>
      <c r="C97" t="s">
        <v>173</v>
      </c>
      <c r="D97" t="str">
        <f t="shared" si="13"/>
        <v>EAST_OF_TELIPOK</v>
      </c>
      <c r="E97" t="str" cm="1">
        <f t="array" ref="E97">_xlfn.REDUCE(D97, _xlfn.SEQUENCE(ROWS(Abbreviations!$A$2:$A$12)), _xlfn.LAMBDA(_xlpm.text,_xlpm.i, SUBSTITUTE(_xlpm.text, INDEX(Abbreviations!$A$2:$A$12, _xlpm.i), INDEX(Abbreviations!$B$2:$B$12, _xlpm.i))))</f>
        <v>EAST_TELIPOK</v>
      </c>
      <c r="F97" t="s">
        <v>388</v>
      </c>
      <c r="G97" t="str">
        <f t="shared" si="9"/>
        <v>East of Telipok</v>
      </c>
      <c r="H97" t="str">
        <f t="shared" si="12"/>
        <v>East of Telipok</v>
      </c>
      <c r="I97" s="5">
        <f t="shared" si="10"/>
        <v>6.1083333333333334</v>
      </c>
      <c r="J97" s="5">
        <f t="shared" si="11"/>
        <v>116.20833333333334</v>
      </c>
    </row>
    <row r="98" spans="1:10" x14ac:dyDescent="0.25">
      <c r="A98" t="s">
        <v>174</v>
      </c>
      <c r="B98" t="s">
        <v>174</v>
      </c>
      <c r="C98" t="s">
        <v>175</v>
      </c>
      <c r="D98" t="str">
        <f t="shared" si="13"/>
        <v>KAMPUNG_KIULU</v>
      </c>
      <c r="E98" t="str" cm="1">
        <f t="array" ref="E98">_xlfn.REDUCE(D98, _xlfn.SEQUENCE(ROWS(Abbreviations!$A$2:$A$12)), _xlfn.LAMBDA(_xlpm.text,_xlpm.i, SUBSTITUTE(_xlpm.text, INDEX(Abbreviations!$A$2:$A$12, _xlpm.i), INDEX(Abbreviations!$B$2:$B$12, _xlpm.i))))</f>
        <v>KG_KIULU</v>
      </c>
      <c r="F98" t="s">
        <v>389</v>
      </c>
      <c r="G98" t="str">
        <f t="shared" ref="G98:G129" si="14">B98</f>
        <v>Kampung Kiulu</v>
      </c>
      <c r="H98" t="str">
        <f t="shared" si="12"/>
        <v>Kampung Kiulu</v>
      </c>
      <c r="I98" s="5">
        <f t="shared" ref="I98:I129" si="15">(MID(C98,1,2) + MID(C98,3,2)/60 + MID(C98,5,2)/3600) * IF(MID(C98,7,1)="S",-1,1)</f>
        <v>6.0616666666666665</v>
      </c>
      <c r="J98" s="5">
        <f t="shared" ref="J98:J129" si="16">(MID(C98,9,3) + MID(C98,12,2)/60 + MID(C98,14,2)/3600) * IF(MID(C98,16,1)="W",-1,1)</f>
        <v>116.28305555555555</v>
      </c>
    </row>
    <row r="99" spans="1:10" x14ac:dyDescent="0.25">
      <c r="A99" t="s">
        <v>176</v>
      </c>
      <c r="B99" t="s">
        <v>176</v>
      </c>
      <c r="C99" t="s">
        <v>177</v>
      </c>
      <c r="D99" t="str">
        <f t="shared" si="13"/>
        <v>KAMPUNG_BALABAKAN</v>
      </c>
      <c r="E99" t="str" cm="1">
        <f t="array" ref="E99">_xlfn.REDUCE(D99, _xlfn.SEQUENCE(ROWS(Abbreviations!$A$2:$A$12)), _xlfn.LAMBDA(_xlpm.text,_xlpm.i, SUBSTITUTE(_xlpm.text, INDEX(Abbreviations!$A$2:$A$12, _xlpm.i), INDEX(Abbreviations!$B$2:$B$12, _xlpm.i))))</f>
        <v>KG_BALABAKAN</v>
      </c>
      <c r="F99" t="s">
        <v>390</v>
      </c>
      <c r="G99" t="str">
        <f t="shared" si="14"/>
        <v>Kampung Balabakan</v>
      </c>
      <c r="H99" t="str">
        <f t="shared" si="12"/>
        <v>Kampung Balabakan</v>
      </c>
      <c r="I99" s="5">
        <f t="shared" si="15"/>
        <v>6.0250000000000004</v>
      </c>
      <c r="J99" s="5">
        <f t="shared" si="16"/>
        <v>116.4538888888889</v>
      </c>
    </row>
    <row r="100" spans="1:10" x14ac:dyDescent="0.25">
      <c r="A100" t="s">
        <v>178</v>
      </c>
      <c r="B100" t="s">
        <v>178</v>
      </c>
      <c r="C100" t="s">
        <v>179</v>
      </c>
      <c r="D100" t="str">
        <f t="shared" si="13"/>
        <v>RANAU</v>
      </c>
      <c r="E100" t="str" cm="1">
        <f t="array" ref="E100">_xlfn.REDUCE(D100, _xlfn.SEQUENCE(ROWS(Abbreviations!$A$2:$A$12)), _xlfn.LAMBDA(_xlpm.text,_xlpm.i, SUBSTITUTE(_xlpm.text, INDEX(Abbreviations!$A$2:$A$12, _xlpm.i), INDEX(Abbreviations!$B$2:$B$12, _xlpm.i))))</f>
        <v>RANAU</v>
      </c>
      <c r="F100" t="s">
        <v>329</v>
      </c>
      <c r="G100" t="str">
        <f t="shared" si="14"/>
        <v>Ranau</v>
      </c>
      <c r="H100" t="str">
        <f t="shared" si="12"/>
        <v>Ranau</v>
      </c>
      <c r="I100" s="5">
        <f t="shared" si="15"/>
        <v>5.9583333333333339</v>
      </c>
      <c r="J100" s="5">
        <f t="shared" si="16"/>
        <v>116.67500000000001</v>
      </c>
    </row>
    <row r="101" spans="1:10" x14ac:dyDescent="0.25">
      <c r="A101" t="s">
        <v>180</v>
      </c>
      <c r="B101" t="s">
        <v>180</v>
      </c>
      <c r="C101" t="s">
        <v>181</v>
      </c>
      <c r="D101" t="str">
        <f t="shared" si="13"/>
        <v>WEST_OF_HILL_1040</v>
      </c>
      <c r="E101" t="str" cm="1">
        <f t="array" ref="E101">_xlfn.REDUCE(D101, _xlfn.SEQUENCE(ROWS(Abbreviations!$A$2:$A$12)), _xlfn.LAMBDA(_xlpm.text,_xlpm.i, SUBSTITUTE(_xlpm.text, INDEX(Abbreviations!$A$2:$A$12, _xlpm.i), INDEX(Abbreviations!$B$2:$B$12, _xlpm.i))))</f>
        <v>WEST_HILL_1040</v>
      </c>
      <c r="F101" t="s">
        <v>391</v>
      </c>
      <c r="G101" t="str">
        <f t="shared" si="14"/>
        <v>West of Hill 1040</v>
      </c>
      <c r="H101" t="str">
        <f t="shared" si="12"/>
        <v>West of Hill 1040</v>
      </c>
      <c r="I101" s="5">
        <f t="shared" si="15"/>
        <v>6.1097222222222216</v>
      </c>
      <c r="J101" s="5">
        <f t="shared" si="16"/>
        <v>116.07694444444444</v>
      </c>
    </row>
    <row r="102" spans="1:10" x14ac:dyDescent="0.25">
      <c r="A102" t="s">
        <v>182</v>
      </c>
      <c r="B102" t="s">
        <v>182</v>
      </c>
      <c r="C102" t="s">
        <v>183</v>
      </c>
      <c r="D102" t="str">
        <f t="shared" si="13"/>
        <v>TANJUNG_DALIT</v>
      </c>
      <c r="E102" t="str" cm="1">
        <f t="array" ref="E102">_xlfn.REDUCE(D102, _xlfn.SEQUENCE(ROWS(Abbreviations!$A$2:$A$12)), _xlfn.LAMBDA(_xlpm.text,_xlpm.i, SUBSTITUTE(_xlpm.text, INDEX(Abbreviations!$A$2:$A$12, _xlpm.i), INDEX(Abbreviations!$B$2:$B$12, _xlpm.i))))</f>
        <v>TJ_DALIT</v>
      </c>
      <c r="F102" t="s">
        <v>392</v>
      </c>
      <c r="G102" t="str">
        <f t="shared" si="14"/>
        <v>Tanjung Dalit</v>
      </c>
      <c r="H102" t="str">
        <f t="shared" si="12"/>
        <v>Tanjung Dalit</v>
      </c>
      <c r="I102" s="5">
        <f t="shared" si="15"/>
        <v>6.16</v>
      </c>
      <c r="J102" s="5">
        <f t="shared" si="16"/>
        <v>116.14166666666668</v>
      </c>
    </row>
    <row r="103" spans="1:10" x14ac:dyDescent="0.25">
      <c r="A103" t="s">
        <v>184</v>
      </c>
      <c r="B103" t="s">
        <v>184</v>
      </c>
      <c r="C103" t="s">
        <v>185</v>
      </c>
      <c r="D103" t="str">
        <f t="shared" si="13"/>
        <v>KOTA_BELUD</v>
      </c>
      <c r="E103" t="str" cm="1">
        <f t="array" ref="E103">_xlfn.REDUCE(D103, _xlfn.SEQUENCE(ROWS(Abbreviations!$A$2:$A$12)), _xlfn.LAMBDA(_xlpm.text,_xlpm.i, SUBSTITUTE(_xlpm.text, INDEX(Abbreviations!$A$2:$A$12, _xlpm.i), INDEX(Abbreviations!$B$2:$B$12, _xlpm.i))))</f>
        <v>KOTA_BELUD</v>
      </c>
      <c r="F103" t="s">
        <v>393</v>
      </c>
      <c r="G103" t="str">
        <f t="shared" si="14"/>
        <v>Kota Belud</v>
      </c>
      <c r="H103" t="str">
        <f t="shared" si="12"/>
        <v>Kota Belud</v>
      </c>
      <c r="I103" s="5">
        <f t="shared" si="15"/>
        <v>6.3466666666666667</v>
      </c>
      <c r="J103" s="5">
        <f t="shared" si="16"/>
        <v>116.39777777777779</v>
      </c>
    </row>
    <row r="104" spans="1:10" x14ac:dyDescent="0.25">
      <c r="A104" t="s">
        <v>223</v>
      </c>
      <c r="B104" t="s">
        <v>223</v>
      </c>
      <c r="C104" t="s">
        <v>224</v>
      </c>
      <c r="D104" t="str">
        <f t="shared" si="13"/>
        <v>TERENDAK</v>
      </c>
      <c r="E104" t="str" cm="1">
        <f t="array" ref="E104">_xlfn.REDUCE(D104, _xlfn.SEQUENCE(ROWS(Abbreviations!$A$2:$A$12)), _xlfn.LAMBDA(_xlpm.text,_xlpm.i, SUBSTITUTE(_xlpm.text, INDEX(Abbreviations!$A$2:$A$12, _xlpm.i), INDEX(Abbreviations!$B$2:$B$12, _xlpm.i))))</f>
        <v>TERENDAK</v>
      </c>
      <c r="F104" t="s">
        <v>307</v>
      </c>
      <c r="G104" t="str">
        <f t="shared" si="14"/>
        <v>Terendak</v>
      </c>
      <c r="H104" t="str">
        <f t="shared" si="12"/>
        <v>Terendak</v>
      </c>
      <c r="I104" s="5">
        <f t="shared" si="15"/>
        <v>2.2922222222222222</v>
      </c>
      <c r="J104" s="5">
        <f t="shared" si="16"/>
        <v>102.0911111111111</v>
      </c>
    </row>
    <row r="105" spans="1:10" x14ac:dyDescent="0.25">
      <c r="A105" t="s">
        <v>225</v>
      </c>
      <c r="B105" t="s">
        <v>225</v>
      </c>
      <c r="C105" t="s">
        <v>226</v>
      </c>
      <c r="D105" t="str">
        <f t="shared" si="13"/>
        <v>REMBIA</v>
      </c>
      <c r="E105" t="str" cm="1">
        <f t="array" ref="E105">_xlfn.REDUCE(D105, _xlfn.SEQUENCE(ROWS(Abbreviations!$A$2:$A$12)), _xlfn.LAMBDA(_xlpm.text,_xlpm.i, SUBSTITUTE(_xlpm.text, INDEX(Abbreviations!$A$2:$A$12, _xlpm.i), INDEX(Abbreviations!$B$2:$B$12, _xlpm.i))))</f>
        <v>REMBIA</v>
      </c>
      <c r="F105" t="s">
        <v>306</v>
      </c>
      <c r="G105" t="str">
        <f t="shared" si="14"/>
        <v>Rembia</v>
      </c>
      <c r="H105" t="str">
        <f t="shared" si="12"/>
        <v>Rembia</v>
      </c>
      <c r="I105" s="5">
        <f t="shared" si="15"/>
        <v>2.2822222222222224</v>
      </c>
      <c r="J105" s="5">
        <f t="shared" si="16"/>
        <v>102.215</v>
      </c>
    </row>
    <row r="106" spans="1:10" x14ac:dyDescent="0.25">
      <c r="A106" t="s">
        <v>227</v>
      </c>
      <c r="B106" t="s">
        <v>227</v>
      </c>
      <c r="C106" t="s">
        <v>228</v>
      </c>
      <c r="D106" t="str">
        <f t="shared" si="13"/>
        <v>TAMPIN</v>
      </c>
      <c r="E106" t="str" cm="1">
        <f t="array" ref="E106">_xlfn.REDUCE(D106, _xlfn.SEQUENCE(ROWS(Abbreviations!$A$2:$A$12)), _xlfn.LAMBDA(_xlpm.text,_xlpm.i, SUBSTITUTE(_xlpm.text, INDEX(Abbreviations!$A$2:$A$12, _xlpm.i), INDEX(Abbreviations!$B$2:$B$12, _xlpm.i))))</f>
        <v>TAMPIN</v>
      </c>
      <c r="F106" t="s">
        <v>305</v>
      </c>
      <c r="G106" t="str">
        <f t="shared" si="14"/>
        <v>Tampin</v>
      </c>
      <c r="H106" t="str">
        <f t="shared" si="12"/>
        <v>Tampin</v>
      </c>
      <c r="I106" s="5">
        <f t="shared" si="15"/>
        <v>2.4705555555555558</v>
      </c>
      <c r="J106" s="5">
        <f t="shared" si="16"/>
        <v>102.23</v>
      </c>
    </row>
    <row r="107" spans="1:10" x14ac:dyDescent="0.25">
      <c r="A107" t="s">
        <v>229</v>
      </c>
      <c r="B107" t="s">
        <v>229</v>
      </c>
      <c r="C107" t="s">
        <v>230</v>
      </c>
      <c r="D107" t="str">
        <f t="shared" si="13"/>
        <v>CHIN_CHIN</v>
      </c>
      <c r="E107" t="str" cm="1">
        <f t="array" ref="E107">_xlfn.REDUCE(D107, _xlfn.SEQUENCE(ROWS(Abbreviations!$A$2:$A$12)), _xlfn.LAMBDA(_xlpm.text,_xlpm.i, SUBSTITUTE(_xlpm.text, INDEX(Abbreviations!$A$2:$A$12, _xlpm.i), INDEX(Abbreviations!$B$2:$B$12, _xlpm.i))))</f>
        <v>CHIN_CHIN</v>
      </c>
      <c r="F107" t="s">
        <v>304</v>
      </c>
      <c r="G107" t="str">
        <f t="shared" si="14"/>
        <v>Chin Chin</v>
      </c>
      <c r="H107" t="str">
        <f t="shared" si="12"/>
        <v>Chin Chin</v>
      </c>
      <c r="I107" s="5">
        <f t="shared" si="15"/>
        <v>2.29</v>
      </c>
      <c r="J107" s="5">
        <f t="shared" si="16"/>
        <v>102.47777777777777</v>
      </c>
    </row>
    <row r="108" spans="1:10" x14ac:dyDescent="0.25">
      <c r="A108" t="s">
        <v>231</v>
      </c>
      <c r="B108" t="s">
        <v>231</v>
      </c>
      <c r="C108" t="s">
        <v>232</v>
      </c>
      <c r="D108" t="str">
        <f t="shared" si="13"/>
        <v>BT_BERUANG</v>
      </c>
      <c r="E108" t="str" cm="1">
        <f t="array" ref="E108">_xlfn.REDUCE(D108, _xlfn.SEQUENCE(ROWS(Abbreviations!$A$2:$A$12)), _xlfn.LAMBDA(_xlpm.text,_xlpm.i, SUBSTITUTE(_xlpm.text, INDEX(Abbreviations!$A$2:$A$12, _xlpm.i), INDEX(Abbreviations!$B$2:$B$12, _xlpm.i))))</f>
        <v>BT_BERUANG</v>
      </c>
      <c r="F108" t="s">
        <v>303</v>
      </c>
      <c r="G108" t="str">
        <f t="shared" si="14"/>
        <v>Bt Beruang</v>
      </c>
      <c r="H108" t="str">
        <f t="shared" si="12"/>
        <v>Bt Beruang</v>
      </c>
      <c r="I108" s="5">
        <f t="shared" si="15"/>
        <v>2.2422222222222223</v>
      </c>
      <c r="J108" s="5">
        <f t="shared" si="16"/>
        <v>102.30472222222222</v>
      </c>
    </row>
    <row r="109" spans="1:10" x14ac:dyDescent="0.25">
      <c r="A109" t="s">
        <v>233</v>
      </c>
      <c r="B109" t="s">
        <v>233</v>
      </c>
      <c r="C109" t="s">
        <v>234</v>
      </c>
      <c r="D109" t="str">
        <f t="shared" si="13"/>
        <v>UMBAI</v>
      </c>
      <c r="E109" t="str" cm="1">
        <f t="array" ref="E109">_xlfn.REDUCE(D109, _xlfn.SEQUENCE(ROWS(Abbreviations!$A$2:$A$12)), _xlfn.LAMBDA(_xlpm.text,_xlpm.i, SUBSTITUTE(_xlpm.text, INDEX(Abbreviations!$A$2:$A$12, _xlpm.i), INDEX(Abbreviations!$B$2:$B$12, _xlpm.i))))</f>
        <v>UMBAI</v>
      </c>
      <c r="F109" t="s">
        <v>301</v>
      </c>
      <c r="G109" t="str">
        <f t="shared" si="14"/>
        <v>Umbai</v>
      </c>
      <c r="H109" t="str">
        <f t="shared" si="12"/>
        <v>Umbai</v>
      </c>
      <c r="I109" s="5">
        <f t="shared" si="15"/>
        <v>2.1555555555555554</v>
      </c>
      <c r="J109" s="5">
        <f t="shared" si="16"/>
        <v>102.34444444444443</v>
      </c>
    </row>
    <row r="110" spans="1:10" x14ac:dyDescent="0.25">
      <c r="A110" t="s">
        <v>235</v>
      </c>
      <c r="B110" t="s">
        <v>235</v>
      </c>
      <c r="C110" t="s">
        <v>236</v>
      </c>
      <c r="D110" t="str">
        <f t="shared" si="13"/>
        <v>MALACCA_CITY</v>
      </c>
      <c r="E110" t="str" cm="1">
        <f t="array" ref="E110">_xlfn.REDUCE(D110, _xlfn.SEQUENCE(ROWS(Abbreviations!$A$2:$A$12)), _xlfn.LAMBDA(_xlpm.text,_xlpm.i, SUBSTITUTE(_xlpm.text, INDEX(Abbreviations!$A$2:$A$12, _xlpm.i), INDEX(Abbreviations!$B$2:$B$12, _xlpm.i))))</f>
        <v>MALACCA_CITY</v>
      </c>
      <c r="F110" t="s">
        <v>298</v>
      </c>
      <c r="G110" t="str">
        <f t="shared" si="14"/>
        <v>Malacca City</v>
      </c>
      <c r="H110" t="str">
        <f t="shared" si="12"/>
        <v>Malacca City</v>
      </c>
      <c r="I110" s="5">
        <f t="shared" si="15"/>
        <v>2.2000000000000002</v>
      </c>
      <c r="J110" s="5">
        <f t="shared" si="16"/>
        <v>102.25</v>
      </c>
    </row>
    <row r="111" spans="1:10" x14ac:dyDescent="0.25">
      <c r="A111" t="s">
        <v>237</v>
      </c>
      <c r="B111" t="s">
        <v>237</v>
      </c>
      <c r="C111" t="s">
        <v>238</v>
      </c>
      <c r="D111" t="str">
        <f t="shared" si="13"/>
        <v>MUAR</v>
      </c>
      <c r="E111" t="str" cm="1">
        <f t="array" ref="E111">_xlfn.REDUCE(D111, _xlfn.SEQUENCE(ROWS(Abbreviations!$A$2:$A$12)), _xlfn.LAMBDA(_xlpm.text,_xlpm.i, SUBSTITUTE(_xlpm.text, INDEX(Abbreviations!$A$2:$A$12, _xlpm.i), INDEX(Abbreviations!$B$2:$B$12, _xlpm.i))))</f>
        <v>MUAR</v>
      </c>
      <c r="F111" t="s">
        <v>299</v>
      </c>
      <c r="G111" t="str">
        <f t="shared" si="14"/>
        <v>Muar</v>
      </c>
      <c r="H111" t="str">
        <f t="shared" si="12"/>
        <v>Muar</v>
      </c>
      <c r="I111" s="5">
        <f t="shared" si="15"/>
        <v>2.0616666666666665</v>
      </c>
      <c r="J111" s="5">
        <f t="shared" si="16"/>
        <v>102.565</v>
      </c>
    </row>
    <row r="112" spans="1:10" x14ac:dyDescent="0.25">
      <c r="A112" t="s">
        <v>239</v>
      </c>
      <c r="B112" t="s">
        <v>239</v>
      </c>
      <c r="C112" t="s">
        <v>240</v>
      </c>
      <c r="D112" t="str">
        <f t="shared" si="13"/>
        <v>TANGKAK</v>
      </c>
      <c r="E112" t="str" cm="1">
        <f t="array" ref="E112">_xlfn.REDUCE(D112, _xlfn.SEQUENCE(ROWS(Abbreviations!$A$2:$A$12)), _xlfn.LAMBDA(_xlpm.text,_xlpm.i, SUBSTITUTE(_xlpm.text, INDEX(Abbreviations!$A$2:$A$12, _xlpm.i), INDEX(Abbreviations!$B$2:$B$12, _xlpm.i))))</f>
        <v>TANGKAK</v>
      </c>
      <c r="F112" t="s">
        <v>300</v>
      </c>
      <c r="G112" t="str">
        <f t="shared" si="14"/>
        <v>Tangkak</v>
      </c>
      <c r="H112" t="str">
        <f t="shared" si="12"/>
        <v>Tangkak</v>
      </c>
      <c r="I112" s="5">
        <f t="shared" si="15"/>
        <v>2.2722222222222221</v>
      </c>
      <c r="J112" s="5">
        <f t="shared" si="16"/>
        <v>102.54444444444444</v>
      </c>
    </row>
    <row r="113" spans="1:10" x14ac:dyDescent="0.25">
      <c r="A113" t="s">
        <v>241</v>
      </c>
      <c r="B113" t="s">
        <v>241</v>
      </c>
      <c r="C113" t="s">
        <v>242</v>
      </c>
      <c r="D113" t="str">
        <f t="shared" si="13"/>
        <v>PAGOH</v>
      </c>
      <c r="E113" t="str" cm="1">
        <f t="array" ref="E113">_xlfn.REDUCE(D113, _xlfn.SEQUENCE(ROWS(Abbreviations!$A$2:$A$12)), _xlfn.LAMBDA(_xlpm.text,_xlpm.i, SUBSTITUTE(_xlpm.text, INDEX(Abbreviations!$A$2:$A$12, _xlpm.i), INDEX(Abbreviations!$B$2:$B$12, _xlpm.i))))</f>
        <v>PAGOH</v>
      </c>
      <c r="F113" t="s">
        <v>302</v>
      </c>
      <c r="G113" t="str">
        <f t="shared" si="14"/>
        <v>Pagoh</v>
      </c>
      <c r="H113" t="str">
        <f t="shared" si="12"/>
        <v>Pagoh</v>
      </c>
      <c r="I113" s="5">
        <f t="shared" si="15"/>
        <v>2.15</v>
      </c>
      <c r="J113" s="5">
        <f t="shared" si="16"/>
        <v>102.77</v>
      </c>
    </row>
    <row r="114" spans="1:10" x14ac:dyDescent="0.25">
      <c r="A114" t="s">
        <v>398</v>
      </c>
      <c r="B114" t="s">
        <v>398</v>
      </c>
      <c r="C114" t="s">
        <v>399</v>
      </c>
      <c r="D114" t="str">
        <f t="shared" si="13"/>
        <v>PENARIK</v>
      </c>
      <c r="E114" t="str" cm="1">
        <f t="array" ref="E114">_xlfn.REDUCE(D114, _xlfn.SEQUENCE(ROWS(Abbreviations!$A$2:$A$12)), _xlfn.LAMBDA(_xlpm.text,_xlpm.i, SUBSTITUTE(_xlpm.text, INDEX(Abbreviations!$A$2:$A$12, _xlpm.i), INDEX(Abbreviations!$B$2:$B$12, _xlpm.i))))</f>
        <v>PENARIK</v>
      </c>
      <c r="F114" t="s">
        <v>457</v>
      </c>
      <c r="G114" t="str">
        <f t="shared" si="14"/>
        <v>Penarik</v>
      </c>
      <c r="H114" t="str">
        <f t="shared" si="12"/>
        <v>Penarik</v>
      </c>
      <c r="I114" s="5">
        <f t="shared" si="15"/>
        <v>5.5958333333333332</v>
      </c>
      <c r="J114" s="5">
        <f t="shared" si="16"/>
        <v>102.8261111111111</v>
      </c>
    </row>
    <row r="115" spans="1:10" x14ac:dyDescent="0.25">
      <c r="A115" t="s">
        <v>400</v>
      </c>
      <c r="B115" t="s">
        <v>400</v>
      </c>
      <c r="C115" t="s">
        <v>401</v>
      </c>
      <c r="D115" t="str">
        <f t="shared" si="13"/>
        <v>BANDAR_PERMAISURI</v>
      </c>
      <c r="E115" t="str" cm="1">
        <f t="array" ref="E115">_xlfn.REDUCE(D115, _xlfn.SEQUENCE(ROWS(Abbreviations!$A$2:$A$12)), _xlfn.LAMBDA(_xlpm.text,_xlpm.i, SUBSTITUTE(_xlpm.text, INDEX(Abbreviations!$A$2:$A$12, _xlpm.i), INDEX(Abbreviations!$B$2:$B$12, _xlpm.i))))</f>
        <v>BANDAR_PERMAISURI</v>
      </c>
      <c r="F115" t="s">
        <v>458</v>
      </c>
      <c r="G115" t="str">
        <f t="shared" si="14"/>
        <v>Bandar Permaisuri</v>
      </c>
      <c r="H115" t="str">
        <f t="shared" si="12"/>
        <v>Bandar Permaisuri</v>
      </c>
      <c r="I115" s="5">
        <f t="shared" si="15"/>
        <v>5.5113888888888889</v>
      </c>
      <c r="J115" s="5">
        <f t="shared" si="16"/>
        <v>102.74555555555555</v>
      </c>
    </row>
    <row r="116" spans="1:10" x14ac:dyDescent="0.25">
      <c r="A116" t="s">
        <v>402</v>
      </c>
      <c r="B116" t="s">
        <v>402</v>
      </c>
      <c r="C116" t="s">
        <v>403</v>
      </c>
      <c r="D116" t="str">
        <f t="shared" si="13"/>
        <v>KAMPUNG_MERANG</v>
      </c>
      <c r="E116" t="str" cm="1">
        <f t="array" ref="E116">_xlfn.REDUCE(D116, _xlfn.SEQUENCE(ROWS(Abbreviations!$A$2:$A$12)), _xlfn.LAMBDA(_xlpm.text,_xlpm.i, SUBSTITUTE(_xlpm.text, INDEX(Abbreviations!$A$2:$A$12, _xlpm.i), INDEX(Abbreviations!$B$2:$B$12, _xlpm.i))))</f>
        <v>KG_MERANG</v>
      </c>
      <c r="F116" t="s">
        <v>459</v>
      </c>
      <c r="G116" t="str">
        <f t="shared" si="14"/>
        <v>Kampung Merang</v>
      </c>
      <c r="H116" t="str">
        <f t="shared" si="12"/>
        <v>Kampung Merang</v>
      </c>
      <c r="I116" s="5">
        <f t="shared" si="15"/>
        <v>5.5194444444444448</v>
      </c>
      <c r="J116" s="5">
        <f t="shared" si="16"/>
        <v>102.95944444444444</v>
      </c>
    </row>
    <row r="117" spans="1:10" x14ac:dyDescent="0.25">
      <c r="A117" t="s">
        <v>404</v>
      </c>
      <c r="B117" t="s">
        <v>404</v>
      </c>
      <c r="C117" t="s">
        <v>405</v>
      </c>
      <c r="D117" t="str">
        <f t="shared" si="13"/>
        <v>BATU_RAKIT</v>
      </c>
      <c r="E117" t="str" cm="1">
        <f t="array" ref="E117">_xlfn.REDUCE(D117, _xlfn.SEQUENCE(ROWS(Abbreviations!$A$2:$A$12)), _xlfn.LAMBDA(_xlpm.text,_xlpm.i, SUBSTITUTE(_xlpm.text, INDEX(Abbreviations!$A$2:$A$12, _xlpm.i), INDEX(Abbreviations!$B$2:$B$12, _xlpm.i))))</f>
        <v>BATU_RAKIT</v>
      </c>
      <c r="F117" t="s">
        <v>460</v>
      </c>
      <c r="G117" t="str">
        <f t="shared" si="14"/>
        <v>Batu Rakit</v>
      </c>
      <c r="H117" t="str">
        <f t="shared" si="12"/>
        <v>Batu Rakit</v>
      </c>
      <c r="I117" s="5">
        <f t="shared" si="15"/>
        <v>5.4444444444444446</v>
      </c>
      <c r="J117" s="5">
        <f t="shared" si="16"/>
        <v>103.04861111111111</v>
      </c>
    </row>
    <row r="118" spans="1:10" x14ac:dyDescent="0.25">
      <c r="A118" t="s">
        <v>406</v>
      </c>
      <c r="B118" t="s">
        <v>406</v>
      </c>
      <c r="C118" t="s">
        <v>407</v>
      </c>
      <c r="D118" t="str">
        <f t="shared" si="13"/>
        <v>KAMPUNG_CHENERING</v>
      </c>
      <c r="E118" t="str" cm="1">
        <f t="array" ref="E118">_xlfn.REDUCE(D118, _xlfn.SEQUENCE(ROWS(Abbreviations!$A$2:$A$12)), _xlfn.LAMBDA(_xlpm.text,_xlpm.i, SUBSTITUTE(_xlpm.text, INDEX(Abbreviations!$A$2:$A$12, _xlpm.i), INDEX(Abbreviations!$B$2:$B$12, _xlpm.i))))</f>
        <v>KG_CHENERING</v>
      </c>
      <c r="F118" t="s">
        <v>461</v>
      </c>
      <c r="G118" t="str">
        <f t="shared" si="14"/>
        <v>Kampung Chenering</v>
      </c>
      <c r="H118" t="str">
        <f t="shared" si="12"/>
        <v>Kampung Chenering</v>
      </c>
      <c r="I118" s="5">
        <f t="shared" si="15"/>
        <v>5.2716666666666665</v>
      </c>
      <c r="J118" s="5">
        <f t="shared" si="16"/>
        <v>103.17638888888889</v>
      </c>
    </row>
    <row r="119" spans="1:10" x14ac:dyDescent="0.25">
      <c r="A119" t="s">
        <v>408</v>
      </c>
      <c r="B119" t="s">
        <v>408</v>
      </c>
      <c r="C119" t="s">
        <v>409</v>
      </c>
      <c r="D119" t="str">
        <f t="shared" si="13"/>
        <v>MARANG</v>
      </c>
      <c r="E119" t="str" cm="1">
        <f t="array" ref="E119">_xlfn.REDUCE(D119, _xlfn.SEQUENCE(ROWS(Abbreviations!$A$2:$A$12)), _xlfn.LAMBDA(_xlpm.text,_xlpm.i, SUBSTITUTE(_xlpm.text, INDEX(Abbreviations!$A$2:$A$12, _xlpm.i), INDEX(Abbreviations!$B$2:$B$12, _xlpm.i))))</f>
        <v>MARANG</v>
      </c>
      <c r="F119" t="s">
        <v>448</v>
      </c>
      <c r="G119" t="str">
        <f t="shared" si="14"/>
        <v>Marang</v>
      </c>
      <c r="H119" t="str">
        <f t="shared" si="12"/>
        <v>Marang</v>
      </c>
      <c r="I119" s="5">
        <f t="shared" si="15"/>
        <v>5.1888888888888891</v>
      </c>
      <c r="J119" s="5">
        <f t="shared" si="16"/>
        <v>103.22055555555556</v>
      </c>
    </row>
    <row r="120" spans="1:10" x14ac:dyDescent="0.25">
      <c r="A120" t="s">
        <v>410</v>
      </c>
      <c r="B120" t="s">
        <v>410</v>
      </c>
      <c r="C120" t="s">
        <v>411</v>
      </c>
      <c r="D120" t="str">
        <f t="shared" si="13"/>
        <v>KUALA_BERANG</v>
      </c>
      <c r="E120" t="str" cm="1">
        <f t="array" ref="E120">_xlfn.REDUCE(D120, _xlfn.SEQUENCE(ROWS(Abbreviations!$A$2:$A$12)), _xlfn.LAMBDA(_xlpm.text,_xlpm.i, SUBSTITUTE(_xlpm.text, INDEX(Abbreviations!$A$2:$A$12, _xlpm.i), INDEX(Abbreviations!$B$2:$B$12, _xlpm.i))))</f>
        <v>KUALA_BERANG</v>
      </c>
      <c r="F120" t="s">
        <v>462</v>
      </c>
      <c r="G120" t="str">
        <f t="shared" si="14"/>
        <v>Kuala Berang</v>
      </c>
      <c r="H120" t="str">
        <f t="shared" si="12"/>
        <v>Kuala Berang</v>
      </c>
      <c r="I120" s="5">
        <f t="shared" si="15"/>
        <v>5.0619444444444444</v>
      </c>
      <c r="J120" s="5">
        <f t="shared" si="16"/>
        <v>103.00916666666667</v>
      </c>
    </row>
    <row r="121" spans="1:10" x14ac:dyDescent="0.25">
      <c r="A121" t="s">
        <v>412</v>
      </c>
      <c r="B121" t="s">
        <v>412</v>
      </c>
      <c r="C121" t="s">
        <v>413</v>
      </c>
      <c r="D121" t="str">
        <f t="shared" si="13"/>
        <v>TASIK_KENYIR</v>
      </c>
      <c r="E121" t="str" cm="1">
        <f t="array" ref="E121">_xlfn.REDUCE(D121, _xlfn.SEQUENCE(ROWS(Abbreviations!$A$2:$A$12)), _xlfn.LAMBDA(_xlpm.text,_xlpm.i, SUBSTITUTE(_xlpm.text, INDEX(Abbreviations!$A$2:$A$12, _xlpm.i), INDEX(Abbreviations!$B$2:$B$12, _xlpm.i))))</f>
        <v>TASIK_KENYIR</v>
      </c>
      <c r="F121" t="s">
        <v>463</v>
      </c>
      <c r="G121" t="str">
        <f t="shared" si="14"/>
        <v>Tasik Kenyir</v>
      </c>
      <c r="H121" t="str">
        <f t="shared" si="12"/>
        <v>Tasik Kenyir</v>
      </c>
      <c r="I121" s="5">
        <f t="shared" si="15"/>
        <v>5.0836111111111109</v>
      </c>
      <c r="J121" s="5">
        <f t="shared" si="16"/>
        <v>102.81138888888889</v>
      </c>
    </row>
    <row r="122" spans="1:10" x14ac:dyDescent="0.25">
      <c r="A122" t="s">
        <v>414</v>
      </c>
      <c r="B122" t="s">
        <v>414</v>
      </c>
      <c r="C122" t="s">
        <v>415</v>
      </c>
      <c r="D122" t="str">
        <f t="shared" si="13"/>
        <v>PENERAK</v>
      </c>
      <c r="E122" t="str" cm="1">
        <f t="array" ref="E122">_xlfn.REDUCE(D122, _xlfn.SEQUENCE(ROWS(Abbreviations!$A$2:$A$12)), _xlfn.LAMBDA(_xlpm.text,_xlpm.i, SUBSTITUTE(_xlpm.text, INDEX(Abbreviations!$A$2:$A$12, _xlpm.i), INDEX(Abbreviations!$B$2:$B$12, _xlpm.i))))</f>
        <v>PENERAK</v>
      </c>
      <c r="F122" t="s">
        <v>464</v>
      </c>
      <c r="G122" t="str">
        <f t="shared" si="14"/>
        <v>Penerak</v>
      </c>
      <c r="H122" t="str">
        <f t="shared" si="12"/>
        <v>Penerak</v>
      </c>
      <c r="I122" s="5">
        <f t="shared" si="15"/>
        <v>4.9683333333333337</v>
      </c>
      <c r="J122" s="5">
        <f t="shared" si="16"/>
        <v>103.32055555555556</v>
      </c>
    </row>
    <row r="123" spans="1:10" x14ac:dyDescent="0.25">
      <c r="A123" t="s">
        <v>416</v>
      </c>
      <c r="B123" t="s">
        <v>425</v>
      </c>
      <c r="C123" t="s">
        <v>435</v>
      </c>
      <c r="D123" t="str">
        <f t="shared" si="13"/>
        <v>NENASI</v>
      </c>
      <c r="E123" t="str" cm="1">
        <f t="array" ref="E123">_xlfn.REDUCE(D123, _xlfn.SEQUENCE(ROWS(Abbreviations!$A$2:$A$12)), _xlfn.LAMBDA(_xlpm.text,_xlpm.i, SUBSTITUTE(_xlpm.text, INDEX(Abbreviations!$A$2:$A$12, _xlpm.i), INDEX(Abbreviations!$B$2:$B$12, _xlpm.i))))</f>
        <v>NENASI</v>
      </c>
      <c r="F123" t="s">
        <v>446</v>
      </c>
      <c r="G123" t="str">
        <f t="shared" si="14"/>
        <v>Nenasi River Mouth</v>
      </c>
      <c r="H123" t="str">
        <f t="shared" si="12"/>
        <v>Nenasi River Mouth</v>
      </c>
      <c r="I123" s="5">
        <f t="shared" si="15"/>
        <v>3.0736111111111115</v>
      </c>
      <c r="J123" s="5">
        <f t="shared" si="16"/>
        <v>103.4388888888889</v>
      </c>
    </row>
    <row r="124" spans="1:10" x14ac:dyDescent="0.25">
      <c r="A124" t="s">
        <v>417</v>
      </c>
      <c r="B124" t="s">
        <v>426</v>
      </c>
      <c r="C124" t="s">
        <v>436</v>
      </c>
      <c r="D124" t="str">
        <f t="shared" si="13"/>
        <v>PEKAN</v>
      </c>
      <c r="E124" t="str" cm="1">
        <f t="array" ref="E124">_xlfn.REDUCE(D124, _xlfn.SEQUENCE(ROWS(Abbreviations!$A$2:$A$12)), _xlfn.LAMBDA(_xlpm.text,_xlpm.i, SUBSTITUTE(_xlpm.text, INDEX(Abbreviations!$A$2:$A$12, _xlpm.i), INDEX(Abbreviations!$B$2:$B$12, _xlpm.i))))</f>
        <v>PEKAN</v>
      </c>
      <c r="F124" t="s">
        <v>447</v>
      </c>
      <c r="G124" t="str">
        <f t="shared" si="14"/>
        <v>Pekan Bridge</v>
      </c>
      <c r="H124" t="str">
        <f t="shared" si="12"/>
        <v>Pekan Bridge</v>
      </c>
      <c r="I124" s="5">
        <f t="shared" si="15"/>
        <v>3.5055555555555555</v>
      </c>
      <c r="J124" s="5">
        <f t="shared" si="16"/>
        <v>103.39111111111112</v>
      </c>
    </row>
    <row r="125" spans="1:10" x14ac:dyDescent="0.25">
      <c r="A125" t="s">
        <v>418</v>
      </c>
      <c r="B125" t="s">
        <v>427</v>
      </c>
      <c r="C125" t="s">
        <v>437</v>
      </c>
      <c r="D125" t="str">
        <f t="shared" si="13"/>
        <v>KUANTAN_TOWN</v>
      </c>
      <c r="E125" t="str" cm="1">
        <f t="array" ref="E125">_xlfn.REDUCE(D125, _xlfn.SEQUENCE(ROWS(Abbreviations!$A$2:$A$12)), _xlfn.LAMBDA(_xlpm.text,_xlpm.i, SUBSTITUTE(_xlpm.text, INDEX(Abbreviations!$A$2:$A$12, _xlpm.i), INDEX(Abbreviations!$B$2:$B$12, _xlpm.i))))</f>
        <v>KUANTAN_TOWN</v>
      </c>
      <c r="F125" t="s">
        <v>450</v>
      </c>
      <c r="G125" t="str">
        <f t="shared" si="14"/>
        <v>Tower 188</v>
      </c>
      <c r="H125" t="str">
        <f t="shared" si="12"/>
        <v>Tower 188</v>
      </c>
      <c r="I125" s="5">
        <f t="shared" si="15"/>
        <v>3.8038888888888889</v>
      </c>
      <c r="J125" s="5">
        <f t="shared" si="16"/>
        <v>103.3275</v>
      </c>
    </row>
    <row r="126" spans="1:10" x14ac:dyDescent="0.25">
      <c r="A126" t="s">
        <v>419</v>
      </c>
      <c r="B126" t="s">
        <v>428</v>
      </c>
      <c r="C126" t="s">
        <v>438</v>
      </c>
      <c r="D126" t="str">
        <f t="shared" si="13"/>
        <v>TANJUNG_GELANG</v>
      </c>
      <c r="E126" t="str" cm="1">
        <f t="array" ref="E126">_xlfn.REDUCE(D126, _xlfn.SEQUENCE(ROWS(Abbreviations!$A$2:$A$12)), _xlfn.LAMBDA(_xlpm.text,_xlpm.i, SUBSTITUTE(_xlpm.text, INDEX(Abbreviations!$A$2:$A$12, _xlpm.i), INDEX(Abbreviations!$B$2:$B$12, _xlpm.i))))</f>
        <v>TJ_GELANG</v>
      </c>
      <c r="F126" t="s">
        <v>451</v>
      </c>
      <c r="G126" t="str">
        <f t="shared" si="14"/>
        <v>Juantan Port</v>
      </c>
      <c r="H126" t="str">
        <f t="shared" si="12"/>
        <v>Juantan Port</v>
      </c>
      <c r="I126" s="5">
        <f t="shared" si="15"/>
        <v>3.9833333333333334</v>
      </c>
      <c r="J126" s="5">
        <f t="shared" si="16"/>
        <v>103.41666666666667</v>
      </c>
    </row>
    <row r="127" spans="1:10" x14ac:dyDescent="0.25">
      <c r="A127" t="s">
        <v>420</v>
      </c>
      <c r="B127" t="s">
        <v>429</v>
      </c>
      <c r="C127" t="s">
        <v>439</v>
      </c>
      <c r="D127" t="str">
        <f t="shared" si="13"/>
        <v>CHUKAI</v>
      </c>
      <c r="E127" t="str" cm="1">
        <f t="array" ref="E127">_xlfn.REDUCE(D127, _xlfn.SEQUENCE(ROWS(Abbreviations!$A$2:$A$12)), _xlfn.LAMBDA(_xlpm.text,_xlpm.i, SUBSTITUTE(_xlpm.text, INDEX(Abbreviations!$A$2:$A$12, _xlpm.i), INDEX(Abbreviations!$B$2:$B$12, _xlpm.i))))</f>
        <v>CHUKAI</v>
      </c>
      <c r="F127" t="s">
        <v>445</v>
      </c>
      <c r="G127" t="str">
        <f t="shared" si="14"/>
        <v>Kuala Kemaman</v>
      </c>
      <c r="H127" t="str">
        <f t="shared" si="12"/>
        <v>Kuala Kemaman</v>
      </c>
      <c r="I127" s="5">
        <f t="shared" si="15"/>
        <v>4.2361111111111116</v>
      </c>
      <c r="J127" s="5">
        <f t="shared" si="16"/>
        <v>103.44861111111112</v>
      </c>
    </row>
    <row r="128" spans="1:10" x14ac:dyDescent="0.25">
      <c r="A128" t="s">
        <v>453</v>
      </c>
      <c r="B128" t="s">
        <v>430</v>
      </c>
      <c r="C128" t="s">
        <v>440</v>
      </c>
      <c r="D128" t="str">
        <f t="shared" si="13"/>
        <v>MARAN</v>
      </c>
      <c r="E128" t="str" cm="1">
        <f t="array" ref="E128">_xlfn.REDUCE(D128, _xlfn.SEQUENCE(ROWS(Abbreviations!$A$2:$A$12)), _xlfn.LAMBDA(_xlpm.text,_xlpm.i, SUBSTITUTE(_xlpm.text, INDEX(Abbreviations!$A$2:$A$12, _xlpm.i), INDEX(Abbreviations!$B$2:$B$12, _xlpm.i))))</f>
        <v>MARAN</v>
      </c>
      <c r="F128" t="s">
        <v>452</v>
      </c>
      <c r="G128" t="str">
        <f t="shared" si="14"/>
        <v>Highway Y-Junction</v>
      </c>
      <c r="H128" t="str">
        <f t="shared" si="12"/>
        <v>Highway Y-Junction</v>
      </c>
      <c r="I128" s="5">
        <f t="shared" si="15"/>
        <v>3.5811111111111109</v>
      </c>
      <c r="J128" s="5">
        <f t="shared" si="16"/>
        <v>102.76527777777778</v>
      </c>
    </row>
    <row r="129" spans="1:10" x14ac:dyDescent="0.25">
      <c r="A129" t="s">
        <v>421</v>
      </c>
      <c r="B129" t="s">
        <v>431</v>
      </c>
      <c r="C129" t="s">
        <v>441</v>
      </c>
      <c r="D129" t="str">
        <f t="shared" si="13"/>
        <v>GAMBANG</v>
      </c>
      <c r="E129" t="str" cm="1">
        <f t="array" ref="E129">_xlfn.REDUCE(D129, _xlfn.SEQUENCE(ROWS(Abbreviations!$A$2:$A$12)), _xlfn.LAMBDA(_xlpm.text,_xlpm.i, SUBSTITUTE(_xlpm.text, INDEX(Abbreviations!$A$2:$A$12, _xlpm.i), INDEX(Abbreviations!$B$2:$B$12, _xlpm.i))))</f>
        <v>GAMBANG</v>
      </c>
      <c r="F129" t="s">
        <v>454</v>
      </c>
      <c r="G129" t="str">
        <f t="shared" si="14"/>
        <v>IIUM Gambang Complex</v>
      </c>
      <c r="H129" t="str">
        <f t="shared" si="12"/>
        <v>IIUM Gambang Complex</v>
      </c>
      <c r="I129" s="5">
        <f t="shared" si="15"/>
        <v>3.7233333333333336</v>
      </c>
      <c r="J129" s="5">
        <f t="shared" si="16"/>
        <v>103.05861111111111</v>
      </c>
    </row>
    <row r="130" spans="1:10" x14ac:dyDescent="0.25">
      <c r="A130" t="s">
        <v>422</v>
      </c>
      <c r="B130" t="s">
        <v>432</v>
      </c>
      <c r="C130" t="s">
        <v>442</v>
      </c>
      <c r="D130" t="str">
        <f t="shared" si="13"/>
        <v>LEPAR</v>
      </c>
      <c r="E130" t="str" cm="1">
        <f t="array" ref="E130">_xlfn.REDUCE(D130, _xlfn.SEQUENCE(ROWS(Abbreviations!$A$2:$A$12)), _xlfn.LAMBDA(_xlpm.text,_xlpm.i, SUBSTITUTE(_xlpm.text, INDEX(Abbreviations!$A$2:$A$12, _xlpm.i), INDEX(Abbreviations!$B$2:$B$12, _xlpm.i))))</f>
        <v>LEPAR</v>
      </c>
      <c r="F130" t="s">
        <v>449</v>
      </c>
      <c r="G130" t="str">
        <f t="shared" ref="G130:G161" si="17">B130</f>
        <v>Lepar Bridge</v>
      </c>
      <c r="H130" t="str">
        <f t="shared" si="12"/>
        <v>Lepar Bridge</v>
      </c>
      <c r="I130" s="5">
        <f t="shared" ref="I130:I161" si="18">(MID(C130,1,2) + MID(C130,3,2)/60 + MID(C130,5,2)/3600) * IF(MID(C130,7,1)="S",-1,1)</f>
        <v>3.4916666666666667</v>
      </c>
      <c r="J130" s="5">
        <f t="shared" ref="J130:J161" si="19">(MID(C130,9,3) + MID(C130,12,2)/60 + MID(C130,14,2)/3600) * IF(MID(C130,16,1)="W",-1,1)</f>
        <v>103.09555555555555</v>
      </c>
    </row>
    <row r="131" spans="1:10" x14ac:dyDescent="0.25">
      <c r="A131" t="s">
        <v>423</v>
      </c>
      <c r="B131" t="s">
        <v>433</v>
      </c>
      <c r="C131" t="s">
        <v>443</v>
      </c>
      <c r="D131" t="str">
        <f t="shared" si="13"/>
        <v>MUADZAM</v>
      </c>
      <c r="E131" t="str" cm="1">
        <f t="array" ref="E131">_xlfn.REDUCE(D131, _xlfn.SEQUENCE(ROWS(Abbreviations!$A$2:$A$12)), _xlfn.LAMBDA(_xlpm.text,_xlpm.i, SUBSTITUTE(_xlpm.text, INDEX(Abbreviations!$A$2:$A$12, _xlpm.i), INDEX(Abbreviations!$B$2:$B$12, _xlpm.i))))</f>
        <v>MUADZAM</v>
      </c>
      <c r="F131" t="s">
        <v>455</v>
      </c>
      <c r="G131" t="str">
        <f t="shared" si="17"/>
        <v>4-junction Flyover Kuantan-Segaman Highway</v>
      </c>
      <c r="H131" t="str">
        <f t="shared" ref="H131:H133" si="20">LEFT(G131,25)</f>
        <v>4-junction Flyover Kuanta</v>
      </c>
      <c r="I131" s="5">
        <f t="shared" si="18"/>
        <v>3.0722222222222224</v>
      </c>
      <c r="J131" s="5">
        <f t="shared" si="19"/>
        <v>103.07</v>
      </c>
    </row>
    <row r="132" spans="1:10" x14ac:dyDescent="0.25">
      <c r="A132" t="s">
        <v>424</v>
      </c>
      <c r="B132" t="s">
        <v>434</v>
      </c>
      <c r="C132" t="s">
        <v>444</v>
      </c>
      <c r="D132" t="str">
        <f t="shared" si="13"/>
        <v>SUNGAI_LEMBING</v>
      </c>
      <c r="E132" t="str" cm="1">
        <f t="array" ref="E132">_xlfn.REDUCE(D132, _xlfn.SEQUENCE(ROWS(Abbreviations!$A$2:$A$12)), _xlfn.LAMBDA(_xlpm.text,_xlpm.i, SUBSTITUTE(_xlpm.text, INDEX(Abbreviations!$A$2:$A$12, _xlpm.i), INDEX(Abbreviations!$B$2:$B$12, _xlpm.i))))</f>
        <v>SG_LEMBING</v>
      </c>
      <c r="F132" t="s">
        <v>456</v>
      </c>
      <c r="G132" t="str">
        <f t="shared" si="17"/>
        <v>Football Field Sg Lembing</v>
      </c>
      <c r="H132" t="str">
        <f t="shared" si="20"/>
        <v>Football Field Sg Lembing</v>
      </c>
      <c r="I132" s="5">
        <f t="shared" si="18"/>
        <v>3.9152777777777779</v>
      </c>
      <c r="J132" s="5">
        <f t="shared" si="19"/>
        <v>103.03388888888888</v>
      </c>
    </row>
    <row r="133" spans="1:10" x14ac:dyDescent="0.25">
      <c r="A133" t="s">
        <v>466</v>
      </c>
      <c r="B133" t="s">
        <v>466</v>
      </c>
      <c r="C133" t="s">
        <v>467</v>
      </c>
      <c r="D133" t="str">
        <f t="shared" si="13"/>
        <v>LUNDU</v>
      </c>
      <c r="E133" t="str" cm="1">
        <f t="array" ref="E133">_xlfn.REDUCE(D133, _xlfn.SEQUENCE(ROWS(Abbreviations!$A$2:$A$12)), _xlfn.LAMBDA(_xlpm.text,_xlpm.i, SUBSTITUTE(_xlpm.text, INDEX(Abbreviations!$A$2:$A$12, _xlpm.i), INDEX(Abbreviations!$B$2:$B$12, _xlpm.i))))</f>
        <v>LUNDU</v>
      </c>
      <c r="F133" t="s">
        <v>465</v>
      </c>
      <c r="G133" t="str">
        <f t="shared" si="17"/>
        <v>Lundu</v>
      </c>
      <c r="H133" t="str">
        <f t="shared" si="20"/>
        <v>Lundu</v>
      </c>
      <c r="I133" s="5">
        <f t="shared" si="18"/>
        <v>1.6774999999999998</v>
      </c>
      <c r="J133" s="5">
        <f t="shared" si="19"/>
        <v>109.85361111111111</v>
      </c>
    </row>
    <row r="134" spans="1:10" x14ac:dyDescent="0.25">
      <c r="A134" t="s">
        <v>468</v>
      </c>
      <c r="B134" t="s">
        <v>468</v>
      </c>
      <c r="C134" t="s">
        <v>469</v>
      </c>
      <c r="D134" t="str">
        <f t="shared" si="13"/>
        <v>KAMPUNG_RAMBUNGAN</v>
      </c>
      <c r="E134" t="str" cm="1">
        <f t="array" ref="E134">_xlfn.REDUCE(D134, _xlfn.SEQUENCE(ROWS(Abbreviations!$A$2:$A$12)), _xlfn.LAMBDA(_xlpm.text,_xlpm.i, SUBSTITUTE(_xlpm.text, INDEX(Abbreviations!$A$2:$A$12, _xlpm.i), INDEX(Abbreviations!$B$2:$B$12, _xlpm.i))))</f>
        <v>KG_RAMBUNGAN</v>
      </c>
      <c r="F134" t="s">
        <v>485</v>
      </c>
      <c r="G134" t="str">
        <f t="shared" si="17"/>
        <v>Kampung Rambungan</v>
      </c>
      <c r="H134" t="str">
        <f t="shared" ref="H134:H143" si="21">LEFT(G134,25)</f>
        <v>Kampung Rambungan</v>
      </c>
      <c r="I134" s="5">
        <f t="shared" si="18"/>
        <v>1.6919444444444445</v>
      </c>
      <c r="J134" s="5">
        <f t="shared" si="19"/>
        <v>110.12472222222222</v>
      </c>
    </row>
    <row r="135" spans="1:10" x14ac:dyDescent="0.25">
      <c r="A135" t="s">
        <v>470</v>
      </c>
      <c r="B135" t="s">
        <v>470</v>
      </c>
      <c r="C135" t="s">
        <v>471</v>
      </c>
      <c r="D135" t="str">
        <f t="shared" si="13"/>
        <v>KAMPUNG_STINGGANG</v>
      </c>
      <c r="E135" t="str" cm="1">
        <f t="array" ref="E135">_xlfn.REDUCE(D135, _xlfn.SEQUENCE(ROWS(Abbreviations!$A$2:$A$12)), _xlfn.LAMBDA(_xlpm.text,_xlpm.i, SUBSTITUTE(_xlpm.text, INDEX(Abbreviations!$A$2:$A$12, _xlpm.i), INDEX(Abbreviations!$B$2:$B$12, _xlpm.i))))</f>
        <v>KG_STINGGANG</v>
      </c>
      <c r="F135" t="s">
        <v>486</v>
      </c>
      <c r="G135" t="str">
        <f t="shared" si="17"/>
        <v>Kampung Stinggang</v>
      </c>
      <c r="H135" t="str">
        <f t="shared" si="21"/>
        <v>Kampung Stinggang</v>
      </c>
      <c r="I135" s="5">
        <f t="shared" si="18"/>
        <v>1.4813888888888891</v>
      </c>
      <c r="J135" s="5">
        <f t="shared" si="19"/>
        <v>110.03833333333333</v>
      </c>
    </row>
    <row r="136" spans="1:10" x14ac:dyDescent="0.25">
      <c r="A136" t="s">
        <v>472</v>
      </c>
      <c r="B136" t="s">
        <v>472</v>
      </c>
      <c r="C136" t="s">
        <v>473</v>
      </c>
      <c r="D136" t="str">
        <f t="shared" si="13"/>
        <v>MUARA_TEBAS</v>
      </c>
      <c r="E136" t="str" cm="1">
        <f t="array" ref="E136">_xlfn.REDUCE(D136, _xlfn.SEQUENCE(ROWS(Abbreviations!$A$2:$A$12)), _xlfn.LAMBDA(_xlpm.text,_xlpm.i, SUBSTITUTE(_xlpm.text, INDEX(Abbreviations!$A$2:$A$12, _xlpm.i), INDEX(Abbreviations!$B$2:$B$12, _xlpm.i))))</f>
        <v>MUARA_TEBAS</v>
      </c>
      <c r="F136" t="s">
        <v>487</v>
      </c>
      <c r="G136" t="str">
        <f t="shared" si="17"/>
        <v>Muara Tebas</v>
      </c>
      <c r="H136" t="str">
        <f t="shared" si="21"/>
        <v>Muara Tebas</v>
      </c>
      <c r="I136" s="5">
        <f t="shared" si="18"/>
        <v>1.6411111111111112</v>
      </c>
      <c r="J136" s="5">
        <f t="shared" si="19"/>
        <v>110.48138888888889</v>
      </c>
    </row>
    <row r="137" spans="1:10" x14ac:dyDescent="0.25">
      <c r="A137" t="s">
        <v>570</v>
      </c>
      <c r="B137" t="s">
        <v>570</v>
      </c>
      <c r="C137" t="s">
        <v>474</v>
      </c>
      <c r="D137" t="str">
        <f t="shared" si="13"/>
        <v>ABEAM_SEMERA</v>
      </c>
      <c r="E137" t="str" cm="1">
        <f t="array" ref="E137">_xlfn.REDUCE(D137, _xlfn.SEQUENCE(ROWS(Abbreviations!$A$2:$A$12)), _xlfn.LAMBDA(_xlpm.text,_xlpm.i, SUBSTITUTE(_xlpm.text, INDEX(Abbreviations!$A$2:$A$12, _xlpm.i), INDEX(Abbreviations!$B$2:$B$12, _xlpm.i))))</f>
        <v>ABM_SEMERA</v>
      </c>
      <c r="F137" t="s">
        <v>488</v>
      </c>
      <c r="G137" t="str">
        <f t="shared" si="17"/>
        <v>Abeam Semera</v>
      </c>
      <c r="H137" t="str">
        <f t="shared" si="21"/>
        <v>Abeam Semera</v>
      </c>
      <c r="I137" s="5">
        <f t="shared" si="18"/>
        <v>1.5522222222222222</v>
      </c>
      <c r="J137" s="5">
        <f t="shared" si="19"/>
        <v>110.67027777777778</v>
      </c>
    </row>
    <row r="138" spans="1:10" x14ac:dyDescent="0.25">
      <c r="A138" t="s">
        <v>475</v>
      </c>
      <c r="B138" t="s">
        <v>475</v>
      </c>
      <c r="C138" t="s">
        <v>476</v>
      </c>
      <c r="D138" t="str">
        <f t="shared" si="13"/>
        <v>TEBEDU</v>
      </c>
      <c r="E138" t="str" cm="1">
        <f t="array" ref="E138">_xlfn.REDUCE(D138, _xlfn.SEQUENCE(ROWS(Abbreviations!$A$2:$A$12)), _xlfn.LAMBDA(_xlpm.text,_xlpm.i, SUBSTITUTE(_xlpm.text, INDEX(Abbreviations!$A$2:$A$12, _xlpm.i), INDEX(Abbreviations!$B$2:$B$12, _xlpm.i))))</f>
        <v>TEBEDU</v>
      </c>
      <c r="F138" t="s">
        <v>483</v>
      </c>
      <c r="G138" t="str">
        <f t="shared" si="17"/>
        <v>Tebedu</v>
      </c>
      <c r="H138" t="str">
        <f t="shared" si="21"/>
        <v>Tebedu</v>
      </c>
      <c r="I138" s="5">
        <f t="shared" si="18"/>
        <v>1.0166666666666666</v>
      </c>
      <c r="J138" s="5">
        <f t="shared" si="19"/>
        <v>110.35749999999999</v>
      </c>
    </row>
    <row r="139" spans="1:10" x14ac:dyDescent="0.25">
      <c r="A139" t="s">
        <v>477</v>
      </c>
      <c r="B139" t="s">
        <v>477</v>
      </c>
      <c r="C139" t="s">
        <v>478</v>
      </c>
      <c r="D139" t="str">
        <f t="shared" si="13"/>
        <v>SERIAN</v>
      </c>
      <c r="E139" t="str" cm="1">
        <f t="array" ref="E139">_xlfn.REDUCE(D139, _xlfn.SEQUENCE(ROWS(Abbreviations!$A$2:$A$12)), _xlfn.LAMBDA(_xlpm.text,_xlpm.i, SUBSTITUTE(_xlpm.text, INDEX(Abbreviations!$A$2:$A$12, _xlpm.i), INDEX(Abbreviations!$B$2:$B$12, _xlpm.i))))</f>
        <v>SERIAN</v>
      </c>
      <c r="F139" t="s">
        <v>484</v>
      </c>
      <c r="G139" t="str">
        <f t="shared" si="17"/>
        <v>Serian</v>
      </c>
      <c r="H139" t="str">
        <f t="shared" si="21"/>
        <v>Serian</v>
      </c>
      <c r="I139" s="5">
        <f t="shared" si="18"/>
        <v>1.1697222222222223</v>
      </c>
      <c r="J139" s="5">
        <f t="shared" si="19"/>
        <v>110.56722222222221</v>
      </c>
    </row>
    <row r="140" spans="1:10" x14ac:dyDescent="0.25">
      <c r="A140" t="s">
        <v>479</v>
      </c>
      <c r="B140" t="s">
        <v>479</v>
      </c>
      <c r="C140" t="s">
        <v>480</v>
      </c>
      <c r="D140" t="str">
        <f t="shared" si="13"/>
        <v>SIMUNJAN</v>
      </c>
      <c r="E140" t="str" cm="1">
        <f t="array" ref="E140">_xlfn.REDUCE(D140, _xlfn.SEQUENCE(ROWS(Abbreviations!$A$2:$A$12)), _xlfn.LAMBDA(_xlpm.text,_xlpm.i, SUBSTITUTE(_xlpm.text, INDEX(Abbreviations!$A$2:$A$12, _xlpm.i), INDEX(Abbreviations!$B$2:$B$12, _xlpm.i))))</f>
        <v>SIMUNJAN</v>
      </c>
      <c r="F140" t="s">
        <v>489</v>
      </c>
      <c r="G140" t="str">
        <f t="shared" si="17"/>
        <v>Simunjan</v>
      </c>
      <c r="H140" t="str">
        <f t="shared" si="21"/>
        <v>Simunjan</v>
      </c>
      <c r="I140" s="5">
        <f t="shared" si="18"/>
        <v>1.3911111111111112</v>
      </c>
      <c r="J140" s="5">
        <f t="shared" si="19"/>
        <v>110.74944444444445</v>
      </c>
    </row>
    <row r="141" spans="1:10" x14ac:dyDescent="0.25">
      <c r="A141" t="s">
        <v>481</v>
      </c>
      <c r="B141" t="s">
        <v>481</v>
      </c>
      <c r="C141" t="s">
        <v>482</v>
      </c>
      <c r="D141" t="str">
        <f t="shared" si="13"/>
        <v>KAMPUNG_TRISO</v>
      </c>
      <c r="E141" t="str" cm="1">
        <f t="array" ref="E141">_xlfn.REDUCE(D141, _xlfn.SEQUENCE(ROWS(Abbreviations!$A$2:$A$12)), _xlfn.LAMBDA(_xlpm.text,_xlpm.i, SUBSTITUTE(_xlpm.text, INDEX(Abbreviations!$A$2:$A$12, _xlpm.i), INDEX(Abbreviations!$B$2:$B$12, _xlpm.i))))</f>
        <v>KG_TRISO</v>
      </c>
      <c r="F141" t="s">
        <v>490</v>
      </c>
      <c r="G141" t="str">
        <f t="shared" si="17"/>
        <v>Kampung Triso</v>
      </c>
      <c r="H141" t="str">
        <f t="shared" si="21"/>
        <v>Kampung Triso</v>
      </c>
      <c r="I141" s="5">
        <f t="shared" si="18"/>
        <v>1.5272222222222223</v>
      </c>
      <c r="J141" s="5">
        <f t="shared" si="19"/>
        <v>111.00361111111111</v>
      </c>
    </row>
    <row r="142" spans="1:10" x14ac:dyDescent="0.25">
      <c r="A142" t="s">
        <v>491</v>
      </c>
      <c r="B142" t="s">
        <v>491</v>
      </c>
      <c r="C142" t="s">
        <v>492</v>
      </c>
      <c r="D142" t="str">
        <f t="shared" si="13"/>
        <v>KAMPUNG_KUAP</v>
      </c>
      <c r="E142" t="str" cm="1">
        <f t="array" ref="E142">_xlfn.REDUCE(D142, _xlfn.SEQUENCE(ROWS(Abbreviations!$A$2:$A$12)), _xlfn.LAMBDA(_xlpm.text,_xlpm.i, SUBSTITUTE(_xlpm.text, INDEX(Abbreviations!$A$2:$A$12, _xlpm.i), INDEX(Abbreviations!$B$2:$B$12, _xlpm.i))))</f>
        <v>KG_KUAP</v>
      </c>
      <c r="F142" t="s">
        <v>495</v>
      </c>
      <c r="G142" t="str">
        <f t="shared" si="17"/>
        <v>Kampung Kuap</v>
      </c>
      <c r="H142" t="str">
        <f t="shared" si="21"/>
        <v>Kampung Kuap</v>
      </c>
      <c r="I142" s="5">
        <f t="shared" si="18"/>
        <v>1.4075</v>
      </c>
      <c r="J142" s="5">
        <f t="shared" si="19"/>
        <v>110.36333333333333</v>
      </c>
    </row>
    <row r="143" spans="1:10" x14ac:dyDescent="0.25">
      <c r="A143" t="s">
        <v>493</v>
      </c>
      <c r="B143" t="s">
        <v>493</v>
      </c>
      <c r="C143" t="s">
        <v>494</v>
      </c>
      <c r="D143" t="str">
        <f t="shared" si="13"/>
        <v>BUKIT_SIOL</v>
      </c>
      <c r="E143" t="str" cm="1">
        <f t="array" ref="E143">_xlfn.REDUCE(D143, _xlfn.SEQUENCE(ROWS(Abbreviations!$A$2:$A$12)), _xlfn.LAMBDA(_xlpm.text,_xlpm.i, SUBSTITUTE(_xlpm.text, INDEX(Abbreviations!$A$2:$A$12, _xlpm.i), INDEX(Abbreviations!$B$2:$B$12, _xlpm.i))))</f>
        <v>BT_SIOL</v>
      </c>
      <c r="F143" t="s">
        <v>496</v>
      </c>
      <c r="G143" t="str">
        <f t="shared" si="17"/>
        <v>Bukit Siol</v>
      </c>
      <c r="H143" t="str">
        <f t="shared" si="21"/>
        <v>Bukit Siol</v>
      </c>
      <c r="I143" s="5">
        <f t="shared" si="18"/>
        <v>1.5788888888888888</v>
      </c>
      <c r="J143" s="5">
        <f t="shared" si="19"/>
        <v>110.35361111111111</v>
      </c>
    </row>
    <row r="144" spans="1:10" x14ac:dyDescent="0.25">
      <c r="A144" t="s">
        <v>569</v>
      </c>
      <c r="B144" t="s">
        <v>569</v>
      </c>
      <c r="C144" t="s">
        <v>497</v>
      </c>
      <c r="D144" t="str">
        <f t="shared" si="13"/>
        <v>ABEAM_NARUB</v>
      </c>
      <c r="E144" t="str" cm="1">
        <f t="array" ref="E144">_xlfn.REDUCE(D144, _xlfn.SEQUENCE(ROWS(Abbreviations!$A$2:$A$12)), _xlfn.LAMBDA(_xlpm.text,_xlpm.i, SUBSTITUTE(_xlpm.text, INDEX(Abbreviations!$A$2:$A$12, _xlpm.i), INDEX(Abbreviations!$B$2:$B$12, _xlpm.i))))</f>
        <v>ABM_NARUB</v>
      </c>
      <c r="F144" t="s">
        <v>571</v>
      </c>
      <c r="G144" t="str">
        <f t="shared" si="17"/>
        <v>Abeam Narub</v>
      </c>
      <c r="H144" t="str">
        <f t="shared" ref="H144:H168" si="22">LEFT(G144,25)</f>
        <v>Abeam Narub</v>
      </c>
      <c r="I144" s="5">
        <f t="shared" si="18"/>
        <v>2.6433333333333331</v>
      </c>
      <c r="J144" s="5">
        <f t="shared" si="19"/>
        <v>112.07666666666667</v>
      </c>
    </row>
    <row r="145" spans="1:10" x14ac:dyDescent="0.25">
      <c r="A145" t="s">
        <v>498</v>
      </c>
      <c r="B145" t="s">
        <v>498</v>
      </c>
      <c r="C145" t="s">
        <v>499</v>
      </c>
      <c r="D145" t="str">
        <f t="shared" si="13"/>
        <v>NANGA_TAMIN</v>
      </c>
      <c r="E145" t="str" cm="1">
        <f t="array" ref="E145">_xlfn.REDUCE(D145, _xlfn.SEQUENCE(ROWS(Abbreviations!$A$2:$A$12)), _xlfn.LAMBDA(_xlpm.text,_xlpm.i, SUBSTITUTE(_xlpm.text, INDEX(Abbreviations!$A$2:$A$12, _xlpm.i), INDEX(Abbreviations!$B$2:$B$12, _xlpm.i))))</f>
        <v>NANGA_TAMIN</v>
      </c>
      <c r="F145" t="s">
        <v>549</v>
      </c>
      <c r="G145" t="str">
        <f t="shared" si="17"/>
        <v>Nanga Tamin</v>
      </c>
      <c r="H145" t="str">
        <f t="shared" si="22"/>
        <v>Nanga Tamin</v>
      </c>
      <c r="I145" s="5">
        <f t="shared" si="18"/>
        <v>2.5083333333333333</v>
      </c>
      <c r="J145" s="5">
        <f t="shared" si="19"/>
        <v>112.07166666666666</v>
      </c>
    </row>
    <row r="146" spans="1:10" x14ac:dyDescent="0.25">
      <c r="A146" t="s">
        <v>500</v>
      </c>
      <c r="B146" t="s">
        <v>500</v>
      </c>
      <c r="C146" t="s">
        <v>501</v>
      </c>
      <c r="D146" t="str">
        <f t="shared" si="13"/>
        <v>LASSA_RIVER</v>
      </c>
      <c r="E146" t="str" cm="1">
        <f t="array" ref="E146">_xlfn.REDUCE(D146, _xlfn.SEQUENCE(ROWS(Abbreviations!$A$2:$A$12)), _xlfn.LAMBDA(_xlpm.text,_xlpm.i, SUBSTITUTE(_xlpm.text, INDEX(Abbreviations!$A$2:$A$12, _xlpm.i), INDEX(Abbreviations!$B$2:$B$12, _xlpm.i))))</f>
        <v>LASSA_RIVER</v>
      </c>
      <c r="F146" t="s">
        <v>550</v>
      </c>
      <c r="G146" t="str">
        <f t="shared" si="17"/>
        <v>Lassa River</v>
      </c>
      <c r="H146" t="str">
        <f t="shared" si="22"/>
        <v>Lassa River</v>
      </c>
      <c r="I146" s="5">
        <f t="shared" si="18"/>
        <v>2.4683333333333333</v>
      </c>
      <c r="J146" s="5">
        <f t="shared" si="19"/>
        <v>111.60833333333333</v>
      </c>
    </row>
    <row r="147" spans="1:10" x14ac:dyDescent="0.25">
      <c r="A147" t="s">
        <v>502</v>
      </c>
      <c r="B147" t="s">
        <v>502</v>
      </c>
      <c r="C147" t="s">
        <v>507</v>
      </c>
      <c r="D147" t="str">
        <f t="shared" si="13"/>
        <v>SELANGAU</v>
      </c>
      <c r="E147" t="str" cm="1">
        <f t="array" ref="E147">_xlfn.REDUCE(D147, _xlfn.SEQUENCE(ROWS(Abbreviations!$A$2:$A$12)), _xlfn.LAMBDA(_xlpm.text,_xlpm.i, SUBSTITUTE(_xlpm.text, INDEX(Abbreviations!$A$2:$A$12, _xlpm.i), INDEX(Abbreviations!$B$2:$B$12, _xlpm.i))))</f>
        <v>SELANGAU</v>
      </c>
      <c r="F147" t="s">
        <v>551</v>
      </c>
      <c r="G147" t="str">
        <f t="shared" si="17"/>
        <v>Selangau</v>
      </c>
      <c r="H147" t="str">
        <f t="shared" si="22"/>
        <v>Selangau</v>
      </c>
      <c r="I147" s="5">
        <f t="shared" si="18"/>
        <v>2.5233333333333334</v>
      </c>
      <c r="J147" s="5">
        <f t="shared" si="19"/>
        <v>112.31833333333333</v>
      </c>
    </row>
    <row r="148" spans="1:10" x14ac:dyDescent="0.25">
      <c r="A148" t="s">
        <v>503</v>
      </c>
      <c r="B148" t="s">
        <v>503</v>
      </c>
      <c r="C148" t="s">
        <v>504</v>
      </c>
      <c r="D148" t="str">
        <f t="shared" si="13"/>
        <v>STAPANG</v>
      </c>
      <c r="E148" t="str" cm="1">
        <f t="array" ref="E148">_xlfn.REDUCE(D148, _xlfn.SEQUENCE(ROWS(Abbreviations!$A$2:$A$12)), _xlfn.LAMBDA(_xlpm.text,_xlpm.i, SUBSTITUTE(_xlpm.text, INDEX(Abbreviations!$A$2:$A$12, _xlpm.i), INDEX(Abbreviations!$B$2:$B$12, _xlpm.i))))</f>
        <v>STAPANG</v>
      </c>
      <c r="F148" t="s">
        <v>552</v>
      </c>
      <c r="G148" t="str">
        <f t="shared" si="17"/>
        <v>Stapang</v>
      </c>
      <c r="H148" t="str">
        <f t="shared" si="22"/>
        <v>Stapang</v>
      </c>
      <c r="I148" s="5">
        <f t="shared" si="18"/>
        <v>2.3983333333333334</v>
      </c>
      <c r="J148" s="5">
        <f t="shared" si="19"/>
        <v>112.13166666666666</v>
      </c>
    </row>
    <row r="149" spans="1:10" x14ac:dyDescent="0.25">
      <c r="A149" t="s">
        <v>505</v>
      </c>
      <c r="B149" t="s">
        <v>505</v>
      </c>
      <c r="C149" t="s">
        <v>506</v>
      </c>
      <c r="D149" t="str">
        <f t="shared" si="13"/>
        <v>T_RIVER_JUNCTION</v>
      </c>
      <c r="E149" t="str" cm="1">
        <f t="array" ref="E149">_xlfn.REDUCE(D149, _xlfn.SEQUENCE(ROWS(Abbreviations!$A$2:$A$12)), _xlfn.LAMBDA(_xlpm.text,_xlpm.i, SUBSTITUTE(_xlpm.text, INDEX(Abbreviations!$A$2:$A$12, _xlpm.i), INDEX(Abbreviations!$B$2:$B$12, _xlpm.i))))</f>
        <v>T_RIVER_JUNCTION</v>
      </c>
      <c r="F149" t="s">
        <v>553</v>
      </c>
      <c r="G149" t="str">
        <f t="shared" si="17"/>
        <v>T River Junction</v>
      </c>
      <c r="H149" t="str">
        <f t="shared" si="22"/>
        <v>T River Junction</v>
      </c>
      <c r="I149" s="5">
        <f t="shared" si="18"/>
        <v>2.29</v>
      </c>
      <c r="J149" s="5">
        <f t="shared" si="19"/>
        <v>111.66500000000001</v>
      </c>
    </row>
    <row r="150" spans="1:10" x14ac:dyDescent="0.25">
      <c r="A150" t="s">
        <v>508</v>
      </c>
      <c r="B150" t="s">
        <v>508</v>
      </c>
      <c r="C150" t="s">
        <v>509</v>
      </c>
      <c r="D150" t="str">
        <f t="shared" si="13"/>
        <v>PULAU_DUDONG</v>
      </c>
      <c r="E150" t="str" cm="1">
        <f t="array" ref="E150">_xlfn.REDUCE(D150, _xlfn.SEQUENCE(ROWS(Abbreviations!$A$2:$A$12)), _xlfn.LAMBDA(_xlpm.text,_xlpm.i, SUBSTITUTE(_xlpm.text, INDEX(Abbreviations!$A$2:$A$12, _xlpm.i), INDEX(Abbreviations!$B$2:$B$12, _xlpm.i))))</f>
        <v>P_DUDONG</v>
      </c>
      <c r="F150" t="s">
        <v>554</v>
      </c>
      <c r="G150" t="str">
        <f t="shared" si="17"/>
        <v>Pulau Dudong</v>
      </c>
      <c r="H150" t="str">
        <f t="shared" si="22"/>
        <v>Pulau Dudong</v>
      </c>
      <c r="I150" s="5">
        <f t="shared" si="18"/>
        <v>2.19</v>
      </c>
      <c r="J150" s="5">
        <f t="shared" si="19"/>
        <v>111.93666666666667</v>
      </c>
    </row>
    <row r="151" spans="1:10" x14ac:dyDescent="0.25">
      <c r="A151" t="s">
        <v>510</v>
      </c>
      <c r="B151" t="s">
        <v>510</v>
      </c>
      <c r="C151" t="s">
        <v>511</v>
      </c>
      <c r="D151" t="str">
        <f t="shared" si="13"/>
        <v>MERUAN</v>
      </c>
      <c r="E151" t="str" cm="1">
        <f t="array" ref="E151">_xlfn.REDUCE(D151, _xlfn.SEQUENCE(ROWS(Abbreviations!$A$2:$A$12)), _xlfn.LAMBDA(_xlpm.text,_xlpm.i, SUBSTITUTE(_xlpm.text, INDEX(Abbreviations!$A$2:$A$12, _xlpm.i), INDEX(Abbreviations!$B$2:$B$12, _xlpm.i))))</f>
        <v>MERUAN</v>
      </c>
      <c r="F151" t="s">
        <v>545</v>
      </c>
      <c r="G151" t="str">
        <f t="shared" si="17"/>
        <v>Meruan</v>
      </c>
      <c r="H151" t="str">
        <f t="shared" si="22"/>
        <v>Meruan</v>
      </c>
      <c r="I151" s="5">
        <f t="shared" si="18"/>
        <v>2.3016666666666663</v>
      </c>
      <c r="J151" s="5">
        <f t="shared" si="19"/>
        <v>112.05666666666666</v>
      </c>
    </row>
    <row r="152" spans="1:10" x14ac:dyDescent="0.25">
      <c r="A152" t="s">
        <v>512</v>
      </c>
      <c r="B152" t="s">
        <v>512</v>
      </c>
      <c r="C152" t="s">
        <v>513</v>
      </c>
      <c r="D152" t="str">
        <f t="shared" si="13"/>
        <v>LENG</v>
      </c>
      <c r="E152" t="str" cm="1">
        <f t="array" ref="E152">_xlfn.REDUCE(D152, _xlfn.SEQUENCE(ROWS(Abbreviations!$A$2:$A$12)), _xlfn.LAMBDA(_xlpm.text,_xlpm.i, SUBSTITUTE(_xlpm.text, INDEX(Abbreviations!$A$2:$A$12, _xlpm.i), INDEX(Abbreviations!$B$2:$B$12, _xlpm.i))))</f>
        <v>LENG</v>
      </c>
      <c r="F152" t="s">
        <v>546</v>
      </c>
      <c r="G152" t="str">
        <f t="shared" si="17"/>
        <v>Leng</v>
      </c>
      <c r="H152" t="str">
        <f t="shared" si="22"/>
        <v>Leng</v>
      </c>
      <c r="I152" s="5">
        <f t="shared" si="18"/>
        <v>2.0649999999999999</v>
      </c>
      <c r="J152" s="5">
        <f t="shared" si="19"/>
        <v>111.76666666666667</v>
      </c>
    </row>
    <row r="153" spans="1:10" x14ac:dyDescent="0.25">
      <c r="A153" t="s">
        <v>514</v>
      </c>
      <c r="B153" t="s">
        <v>514</v>
      </c>
      <c r="C153" t="s">
        <v>515</v>
      </c>
      <c r="D153" t="str">
        <f t="shared" si="13"/>
        <v>PAKAN_ROAD</v>
      </c>
      <c r="E153" t="str" cm="1">
        <f t="array" ref="E153">_xlfn.REDUCE(D153, _xlfn.SEQUENCE(ROWS(Abbreviations!$A$2:$A$12)), _xlfn.LAMBDA(_xlpm.text,_xlpm.i, SUBSTITUTE(_xlpm.text, INDEX(Abbreviations!$A$2:$A$12, _xlpm.i), INDEX(Abbreviations!$B$2:$B$12, _xlpm.i))))</f>
        <v>PAKAN_ROAD</v>
      </c>
      <c r="F153" t="s">
        <v>555</v>
      </c>
      <c r="G153" t="str">
        <f t="shared" si="17"/>
        <v>Pakan Road</v>
      </c>
      <c r="H153" t="str">
        <f t="shared" si="22"/>
        <v>Pakan Road</v>
      </c>
      <c r="I153" s="5">
        <f t="shared" si="18"/>
        <v>1.9816666666666667</v>
      </c>
      <c r="J153" s="5">
        <f t="shared" si="19"/>
        <v>111.64833333333334</v>
      </c>
    </row>
    <row r="154" spans="1:10" x14ac:dyDescent="0.25">
      <c r="A154" t="s">
        <v>516</v>
      </c>
      <c r="B154" t="s">
        <v>516</v>
      </c>
      <c r="C154" t="s">
        <v>517</v>
      </c>
      <c r="D154" t="str">
        <f t="shared" si="13"/>
        <v>DURIN_TOWN</v>
      </c>
      <c r="E154" t="str" cm="1">
        <f t="array" ref="E154">_xlfn.REDUCE(D154, _xlfn.SEQUENCE(ROWS(Abbreviations!$A$2:$A$12)), _xlfn.LAMBDA(_xlpm.text,_xlpm.i, SUBSTITUTE(_xlpm.text, INDEX(Abbreviations!$A$2:$A$12, _xlpm.i), INDEX(Abbreviations!$B$2:$B$12, _xlpm.i))))</f>
        <v>DURIN_TOWN</v>
      </c>
      <c r="F154" t="s">
        <v>556</v>
      </c>
      <c r="G154" t="str">
        <f t="shared" si="17"/>
        <v>Durin Town</v>
      </c>
      <c r="H154" t="str">
        <f t="shared" si="22"/>
        <v>Durin Town</v>
      </c>
      <c r="I154" s="5">
        <f t="shared" si="18"/>
        <v>2.1333333333333333</v>
      </c>
      <c r="J154" s="5">
        <f t="shared" si="19"/>
        <v>111.97</v>
      </c>
    </row>
    <row r="155" spans="1:10" x14ac:dyDescent="0.25">
      <c r="A155" t="s">
        <v>518</v>
      </c>
      <c r="B155" t="s">
        <v>518</v>
      </c>
      <c r="C155" t="s">
        <v>519</v>
      </c>
      <c r="D155" t="str">
        <f t="shared" si="13"/>
        <v>KANOWIT</v>
      </c>
      <c r="E155" t="str" cm="1">
        <f t="array" ref="E155">_xlfn.REDUCE(D155, _xlfn.SEQUENCE(ROWS(Abbreviations!$A$2:$A$12)), _xlfn.LAMBDA(_xlpm.text,_xlpm.i, SUBSTITUTE(_xlpm.text, INDEX(Abbreviations!$A$2:$A$12, _xlpm.i), INDEX(Abbreviations!$B$2:$B$12, _xlpm.i))))</f>
        <v>KANOWIT</v>
      </c>
      <c r="F155" t="s">
        <v>557</v>
      </c>
      <c r="G155" t="str">
        <f t="shared" si="17"/>
        <v>Kanowit</v>
      </c>
      <c r="H155" t="str">
        <f t="shared" si="22"/>
        <v>Kanowit</v>
      </c>
      <c r="I155" s="5">
        <f t="shared" si="18"/>
        <v>2.0950000000000002</v>
      </c>
      <c r="J155" s="5">
        <f t="shared" si="19"/>
        <v>112.15166666666667</v>
      </c>
    </row>
    <row r="156" spans="1:10" x14ac:dyDescent="0.25">
      <c r="A156" t="s">
        <v>398</v>
      </c>
      <c r="B156" t="s">
        <v>398</v>
      </c>
      <c r="C156" t="s">
        <v>520</v>
      </c>
      <c r="D156" t="str">
        <f t="shared" si="13"/>
        <v>PENARIK</v>
      </c>
      <c r="E156" t="str" cm="1">
        <f t="array" ref="E156">_xlfn.REDUCE(D156, _xlfn.SEQUENCE(ROWS(Abbreviations!$A$2:$A$12)), _xlfn.LAMBDA(_xlpm.text,_xlpm.i, SUBSTITUTE(_xlpm.text, INDEX(Abbreviations!$A$2:$A$12, _xlpm.i), INDEX(Abbreviations!$B$2:$B$12, _xlpm.i))))</f>
        <v>PENARIK</v>
      </c>
      <c r="F156" t="s">
        <v>558</v>
      </c>
      <c r="G156" t="str">
        <f t="shared" si="17"/>
        <v>Penarik</v>
      </c>
      <c r="H156" t="str">
        <f t="shared" si="22"/>
        <v>Penarik</v>
      </c>
      <c r="I156" s="5">
        <f t="shared" si="18"/>
        <v>5.5952777777777776</v>
      </c>
      <c r="J156" s="5">
        <f t="shared" si="19"/>
        <v>102.80666666666666</v>
      </c>
    </row>
    <row r="157" spans="1:10" x14ac:dyDescent="0.25">
      <c r="A157" t="s">
        <v>521</v>
      </c>
      <c r="B157" t="s">
        <v>521</v>
      </c>
      <c r="C157" t="s">
        <v>522</v>
      </c>
      <c r="D157" t="str">
        <f t="shared" ref="D157:D184" si="23">SUBSTITUTE(UPPER(A157), " ", "_")</f>
        <v>KAMPUNG_SETIU_LAMA</v>
      </c>
      <c r="E157" t="str" cm="1">
        <f t="array" ref="E157">_xlfn.REDUCE(D157, _xlfn.SEQUENCE(ROWS(Abbreviations!$A$2:$A$12)), _xlfn.LAMBDA(_xlpm.text,_xlpm.i, SUBSTITUTE(_xlpm.text, INDEX(Abbreviations!$A$2:$A$12, _xlpm.i), INDEX(Abbreviations!$B$2:$B$12, _xlpm.i))))</f>
        <v>KG_SETIU_LAMA</v>
      </c>
      <c r="F157" t="s">
        <v>559</v>
      </c>
      <c r="G157" t="str">
        <f t="shared" si="17"/>
        <v>Kampung Setiu Lama</v>
      </c>
      <c r="H157" t="str">
        <f t="shared" si="22"/>
        <v>Kampung Setiu Lama</v>
      </c>
      <c r="I157" s="5">
        <f t="shared" si="18"/>
        <v>5.6813888888888888</v>
      </c>
      <c r="J157" s="5">
        <f t="shared" si="19"/>
        <v>102.71277777777777</v>
      </c>
    </row>
    <row r="158" spans="1:10" x14ac:dyDescent="0.25">
      <c r="A158" t="s">
        <v>523</v>
      </c>
      <c r="B158" t="s">
        <v>523</v>
      </c>
      <c r="C158" t="s">
        <v>524</v>
      </c>
      <c r="D158" t="str">
        <f t="shared" si="23"/>
        <v>BETING_LINTANG</v>
      </c>
      <c r="E158" t="str" cm="1">
        <f t="array" ref="E158">_xlfn.REDUCE(D158, _xlfn.SEQUENCE(ROWS(Abbreviations!$A$2:$A$12)), _xlfn.LAMBDA(_xlpm.text,_xlpm.i, SUBSTITUTE(_xlpm.text, INDEX(Abbreviations!$A$2:$A$12, _xlpm.i), INDEX(Abbreviations!$B$2:$B$12, _xlpm.i))))</f>
        <v>BETING_LINTANG</v>
      </c>
      <c r="F158" t="s">
        <v>560</v>
      </c>
      <c r="G158" t="str">
        <f t="shared" si="17"/>
        <v>Beting Lintang</v>
      </c>
      <c r="H158" t="str">
        <f t="shared" si="22"/>
        <v>Beting Lintang</v>
      </c>
      <c r="I158" s="5">
        <f t="shared" si="18"/>
        <v>5.7374999999999998</v>
      </c>
      <c r="J158" s="5">
        <f t="shared" si="19"/>
        <v>102.65083333333334</v>
      </c>
    </row>
    <row r="159" spans="1:10" x14ac:dyDescent="0.25">
      <c r="A159" t="s">
        <v>526</v>
      </c>
      <c r="B159" t="s">
        <v>526</v>
      </c>
      <c r="C159" t="s">
        <v>525</v>
      </c>
      <c r="D159" t="str">
        <f t="shared" si="23"/>
        <v>PULAU_RU</v>
      </c>
      <c r="E159" t="str" cm="1">
        <f t="array" ref="E159">_xlfn.REDUCE(D159, _xlfn.SEQUENCE(ROWS(Abbreviations!$A$2:$A$12)), _xlfn.LAMBDA(_xlpm.text,_xlpm.i, SUBSTITUTE(_xlpm.text, INDEX(Abbreviations!$A$2:$A$12, _xlpm.i), INDEX(Abbreviations!$B$2:$B$12, _xlpm.i))))</f>
        <v>P_RU</v>
      </c>
      <c r="F159" t="s">
        <v>561</v>
      </c>
      <c r="G159" t="str">
        <f t="shared" si="17"/>
        <v>Pulau Ru</v>
      </c>
      <c r="H159" t="str">
        <f t="shared" si="22"/>
        <v>Pulau Ru</v>
      </c>
      <c r="I159" s="5">
        <f t="shared" si="18"/>
        <v>5.8308333333333335</v>
      </c>
      <c r="J159" s="5">
        <f t="shared" si="19"/>
        <v>102.60638888888889</v>
      </c>
    </row>
    <row r="160" spans="1:10" x14ac:dyDescent="0.25">
      <c r="A160" t="s">
        <v>527</v>
      </c>
      <c r="B160" t="s">
        <v>527</v>
      </c>
      <c r="C160" t="s">
        <v>528</v>
      </c>
      <c r="D160" t="str">
        <f t="shared" si="23"/>
        <v>KAMPUNG_BESUT</v>
      </c>
      <c r="E160" t="str" cm="1">
        <f t="array" ref="E160">_xlfn.REDUCE(D160, _xlfn.SEQUENCE(ROWS(Abbreviations!$A$2:$A$12)), _xlfn.LAMBDA(_xlpm.text,_xlpm.i, SUBSTITUTE(_xlpm.text, INDEX(Abbreviations!$A$2:$A$12, _xlpm.i), INDEX(Abbreviations!$B$2:$B$12, _xlpm.i))))</f>
        <v>KG_BESUT</v>
      </c>
      <c r="F160" t="s">
        <v>562</v>
      </c>
      <c r="G160" t="str">
        <f t="shared" si="17"/>
        <v>Kampung Besut</v>
      </c>
      <c r="H160" t="str">
        <f t="shared" si="22"/>
        <v>Kampung Besut</v>
      </c>
      <c r="I160" s="5">
        <f t="shared" si="18"/>
        <v>5.8319444444444439</v>
      </c>
      <c r="J160" s="5">
        <f t="shared" si="19"/>
        <v>102.54861111111111</v>
      </c>
    </row>
    <row r="161" spans="1:10" x14ac:dyDescent="0.25">
      <c r="A161" t="s">
        <v>529</v>
      </c>
      <c r="B161" t="s">
        <v>529</v>
      </c>
      <c r="C161" t="s">
        <v>530</v>
      </c>
      <c r="D161" t="str">
        <f t="shared" si="23"/>
        <v>KAMPUNG_TOK_BALI</v>
      </c>
      <c r="E161" t="str" cm="1">
        <f t="array" ref="E161">_xlfn.REDUCE(D161, _xlfn.SEQUENCE(ROWS(Abbreviations!$A$2:$A$12)), _xlfn.LAMBDA(_xlpm.text,_xlpm.i, SUBSTITUTE(_xlpm.text, INDEX(Abbreviations!$A$2:$A$12, _xlpm.i), INDEX(Abbreviations!$B$2:$B$12, _xlpm.i))))</f>
        <v>KG_TOK_BALI</v>
      </c>
      <c r="F161" t="s">
        <v>563</v>
      </c>
      <c r="G161" t="str">
        <f t="shared" si="17"/>
        <v>Kampung Tok Bali</v>
      </c>
      <c r="H161" t="str">
        <f t="shared" si="22"/>
        <v>Kampung Tok Bali</v>
      </c>
      <c r="I161" s="5">
        <f t="shared" si="18"/>
        <v>5.8844444444444441</v>
      </c>
      <c r="J161" s="5">
        <f t="shared" si="19"/>
        <v>102.485</v>
      </c>
    </row>
    <row r="162" spans="1:10" x14ac:dyDescent="0.25">
      <c r="A162" t="s">
        <v>531</v>
      </c>
      <c r="B162" t="s">
        <v>531</v>
      </c>
      <c r="C162" t="s">
        <v>532</v>
      </c>
      <c r="D162" t="str">
        <f t="shared" si="23"/>
        <v>KAMPUNG_KANDIS</v>
      </c>
      <c r="E162" t="str" cm="1">
        <f t="array" ref="E162">_xlfn.REDUCE(D162, _xlfn.SEQUENCE(ROWS(Abbreviations!$A$2:$A$12)), _xlfn.LAMBDA(_xlpm.text,_xlpm.i, SUBSTITUTE(_xlpm.text, INDEX(Abbreviations!$A$2:$A$12, _xlpm.i), INDEX(Abbreviations!$B$2:$B$12, _xlpm.i))))</f>
        <v>KG_KANDIS</v>
      </c>
      <c r="F162" t="s">
        <v>564</v>
      </c>
      <c r="G162" t="str">
        <f t="shared" ref="G162:G168" si="24">B162</f>
        <v>Kampung Kandis</v>
      </c>
      <c r="H162" t="str">
        <f t="shared" si="22"/>
        <v>Kampung Kandis</v>
      </c>
      <c r="I162" s="5">
        <f t="shared" ref="I162:I168" si="25">(MID(C162,1,2) + MID(C162,3,2)/60 + MID(C162,5,2)/3600) * IF(MID(C162,7,1)="S",-1,1)</f>
        <v>5.9480555555555554</v>
      </c>
      <c r="J162" s="5">
        <f t="shared" ref="J162:J168" si="26">(MID(C162,9,3) + MID(C162,12,2)/60 + MID(C162,14,2)/3600) * IF(MID(C162,16,1)="W",-1,1)</f>
        <v>102.44277777777778</v>
      </c>
    </row>
    <row r="163" spans="1:10" x14ac:dyDescent="0.25">
      <c r="A163" t="s">
        <v>533</v>
      </c>
      <c r="B163" t="s">
        <v>533</v>
      </c>
      <c r="C163" t="s">
        <v>534</v>
      </c>
      <c r="D163" t="str">
        <f t="shared" si="23"/>
        <v>BACHOK</v>
      </c>
      <c r="E163" t="str" cm="1">
        <f t="array" ref="E163">_xlfn.REDUCE(D163, _xlfn.SEQUENCE(ROWS(Abbreviations!$A$2:$A$12)), _xlfn.LAMBDA(_xlpm.text,_xlpm.i, SUBSTITUTE(_xlpm.text, INDEX(Abbreviations!$A$2:$A$12, _xlpm.i), INDEX(Abbreviations!$B$2:$B$12, _xlpm.i))))</f>
        <v>BACHOK</v>
      </c>
      <c r="F163" t="s">
        <v>547</v>
      </c>
      <c r="G163" t="str">
        <f t="shared" si="24"/>
        <v>Bachok</v>
      </c>
      <c r="H163" t="str">
        <f t="shared" si="22"/>
        <v>Bachok</v>
      </c>
      <c r="I163" s="5">
        <f t="shared" si="25"/>
        <v>6.0649999999999995</v>
      </c>
      <c r="J163" s="5">
        <f t="shared" si="26"/>
        <v>102.39</v>
      </c>
    </row>
    <row r="164" spans="1:10" x14ac:dyDescent="0.25">
      <c r="A164" t="s">
        <v>535</v>
      </c>
      <c r="B164" t="s">
        <v>535</v>
      </c>
      <c r="C164" t="s">
        <v>536</v>
      </c>
      <c r="D164" t="str">
        <f t="shared" si="23"/>
        <v>KOTA_BHARU_TOWN</v>
      </c>
      <c r="E164" t="str" cm="1">
        <f t="array" ref="E164">_xlfn.REDUCE(D164, _xlfn.SEQUENCE(ROWS(Abbreviations!$A$2:$A$12)), _xlfn.LAMBDA(_xlpm.text,_xlpm.i, SUBSTITUTE(_xlpm.text, INDEX(Abbreviations!$A$2:$A$12, _xlpm.i), INDEX(Abbreviations!$B$2:$B$12, _xlpm.i))))</f>
        <v>KOTA_BHARU_TOWN</v>
      </c>
      <c r="F164" t="s">
        <v>565</v>
      </c>
      <c r="G164" t="str">
        <f t="shared" si="24"/>
        <v>Kota Bharu Town</v>
      </c>
      <c r="H164" t="str">
        <f t="shared" si="22"/>
        <v>Kota Bharu Town</v>
      </c>
      <c r="I164" s="5">
        <f t="shared" si="25"/>
        <v>6.1319444444444438</v>
      </c>
      <c r="J164" s="5">
        <f t="shared" si="26"/>
        <v>102.23194444444445</v>
      </c>
    </row>
    <row r="165" spans="1:10" x14ac:dyDescent="0.25">
      <c r="A165" t="s">
        <v>537</v>
      </c>
      <c r="B165" t="s">
        <v>537</v>
      </c>
      <c r="C165" t="s">
        <v>538</v>
      </c>
      <c r="D165" t="str">
        <f t="shared" si="23"/>
        <v>KUALA_KRAI</v>
      </c>
      <c r="E165" t="str" cm="1">
        <f t="array" ref="E165">_xlfn.REDUCE(D165, _xlfn.SEQUENCE(ROWS(Abbreviations!$A$2:$A$12)), _xlfn.LAMBDA(_xlpm.text,_xlpm.i, SUBSTITUTE(_xlpm.text, INDEX(Abbreviations!$A$2:$A$12, _xlpm.i), INDEX(Abbreviations!$B$2:$B$12, _xlpm.i))))</f>
        <v>KUALA_KRAI</v>
      </c>
      <c r="F165" t="s">
        <v>566</v>
      </c>
      <c r="G165" t="str">
        <f t="shared" si="24"/>
        <v>Kuala Krai</v>
      </c>
      <c r="H165" t="str">
        <f t="shared" si="22"/>
        <v>Kuala Krai</v>
      </c>
      <c r="I165" s="5">
        <f t="shared" si="25"/>
        <v>5.5991666666666662</v>
      </c>
      <c r="J165" s="5">
        <f t="shared" si="26"/>
        <v>102.23666666666666</v>
      </c>
    </row>
    <row r="166" spans="1:10" x14ac:dyDescent="0.25">
      <c r="A166" t="s">
        <v>539</v>
      </c>
      <c r="B166" t="s">
        <v>539</v>
      </c>
      <c r="C166" t="s">
        <v>540</v>
      </c>
      <c r="D166" t="str">
        <f t="shared" si="23"/>
        <v>TANAH_MERAH</v>
      </c>
      <c r="E166" t="str" cm="1">
        <f t="array" ref="E166">_xlfn.REDUCE(D166, _xlfn.SEQUENCE(ROWS(Abbreviations!$A$2:$A$12)), _xlfn.LAMBDA(_xlpm.text,_xlpm.i, SUBSTITUTE(_xlpm.text, INDEX(Abbreviations!$A$2:$A$12, _xlpm.i), INDEX(Abbreviations!$B$2:$B$12, _xlpm.i))))</f>
        <v>TANAH_MERAH</v>
      </c>
      <c r="F166" t="s">
        <v>567</v>
      </c>
      <c r="G166" t="str">
        <f t="shared" si="24"/>
        <v>Tanah Merah</v>
      </c>
      <c r="H166" t="str">
        <f t="shared" si="22"/>
        <v>Tanah Merah</v>
      </c>
      <c r="I166" s="5">
        <f t="shared" si="25"/>
        <v>5.7747222222222225</v>
      </c>
      <c r="J166" s="5">
        <f t="shared" si="26"/>
        <v>102.12666666666667</v>
      </c>
    </row>
    <row r="167" spans="1:10" x14ac:dyDescent="0.25">
      <c r="A167" t="s">
        <v>541</v>
      </c>
      <c r="B167" t="s">
        <v>541</v>
      </c>
      <c r="C167" t="s">
        <v>542</v>
      </c>
      <c r="D167" t="str">
        <f t="shared" si="23"/>
        <v>BUKIT_MELINTANG</v>
      </c>
      <c r="E167" t="str" cm="1">
        <f t="array" ref="E167">_xlfn.REDUCE(D167, _xlfn.SEQUENCE(ROWS(Abbreviations!$A$2:$A$12)), _xlfn.LAMBDA(_xlpm.text,_xlpm.i, SUBSTITUTE(_xlpm.text, INDEX(Abbreviations!$A$2:$A$12, _xlpm.i), INDEX(Abbreviations!$B$2:$B$12, _xlpm.i))))</f>
        <v>BT_MELINTANG</v>
      </c>
      <c r="F167" t="s">
        <v>568</v>
      </c>
      <c r="G167" t="str">
        <f t="shared" si="24"/>
        <v>Bukit Melintang</v>
      </c>
      <c r="H167" t="str">
        <f t="shared" si="22"/>
        <v>Bukit Melintang</v>
      </c>
      <c r="I167" s="5">
        <f t="shared" si="25"/>
        <v>5.7013888888888893</v>
      </c>
      <c r="J167" s="5">
        <f t="shared" si="26"/>
        <v>101.72361111111111</v>
      </c>
    </row>
    <row r="168" spans="1:10" x14ac:dyDescent="0.25">
      <c r="A168" t="s">
        <v>543</v>
      </c>
      <c r="B168" t="s">
        <v>543</v>
      </c>
      <c r="C168" t="s">
        <v>544</v>
      </c>
      <c r="D168" t="str">
        <f t="shared" si="23"/>
        <v>JELI</v>
      </c>
      <c r="E168" t="str" cm="1">
        <f t="array" ref="E168">_xlfn.REDUCE(D168, _xlfn.SEQUENCE(ROWS(Abbreviations!$A$2:$A$12)), _xlfn.LAMBDA(_xlpm.text,_xlpm.i, SUBSTITUTE(_xlpm.text, INDEX(Abbreviations!$A$2:$A$12, _xlpm.i), INDEX(Abbreviations!$B$2:$B$12, _xlpm.i))))</f>
        <v>JELI</v>
      </c>
      <c r="F168" t="s">
        <v>548</v>
      </c>
      <c r="G168" t="str">
        <f t="shared" si="24"/>
        <v>Jeli</v>
      </c>
      <c r="H168" t="str">
        <f t="shared" si="22"/>
        <v>Jeli</v>
      </c>
      <c r="I168" s="5">
        <f t="shared" si="25"/>
        <v>5.7013888888888893</v>
      </c>
      <c r="J168" s="5">
        <f t="shared" si="26"/>
        <v>101.82805555555555</v>
      </c>
    </row>
    <row r="169" spans="1:10" x14ac:dyDescent="0.25">
      <c r="A169" t="s">
        <v>572</v>
      </c>
      <c r="B169" t="s">
        <v>572</v>
      </c>
      <c r="C169" t="s">
        <v>583</v>
      </c>
      <c r="D169" t="str">
        <f t="shared" si="23"/>
        <v>KUAH</v>
      </c>
      <c r="E169" t="str" cm="1">
        <f t="array" ref="E169">_xlfn.REDUCE(D169, _xlfn.SEQUENCE(ROWS(Abbreviations!$A$2:$A$12)), _xlfn.LAMBDA(_xlpm.text,_xlpm.i, SUBSTITUTE(_xlpm.text, INDEX(Abbreviations!$A$2:$A$12, _xlpm.i), INDEX(Abbreviations!$B$2:$B$12, _xlpm.i))))</f>
        <v>KUAH</v>
      </c>
      <c r="F169" t="s">
        <v>592</v>
      </c>
      <c r="G169" t="str">
        <f t="shared" ref="G169:G177" si="27">B169</f>
        <v>Kuah</v>
      </c>
      <c r="H169" t="str">
        <f t="shared" ref="H169:H177" si="28">LEFT(G169,25)</f>
        <v>Kuah</v>
      </c>
      <c r="I169" s="6">
        <v>6.3203100000000001</v>
      </c>
      <c r="J169" s="6">
        <v>99.850210000000004</v>
      </c>
    </row>
    <row r="170" spans="1:10" x14ac:dyDescent="0.25">
      <c r="A170" t="s">
        <v>573</v>
      </c>
      <c r="B170" t="s">
        <v>573</v>
      </c>
      <c r="C170" t="s">
        <v>584</v>
      </c>
      <c r="D170" t="str">
        <f t="shared" si="23"/>
        <v>PULAU_TIMUN</v>
      </c>
      <c r="E170" t="str" cm="1">
        <f t="array" ref="E170">_xlfn.REDUCE(D170, _xlfn.SEQUENCE(ROWS(Abbreviations!$A$2:$A$12)), _xlfn.LAMBDA(_xlpm.text,_xlpm.i, SUBSTITUTE(_xlpm.text, INDEX(Abbreviations!$A$2:$A$12, _xlpm.i), INDEX(Abbreviations!$B$2:$B$12, _xlpm.i))))</f>
        <v>P_TIMUN</v>
      </c>
      <c r="F170" t="s">
        <v>593</v>
      </c>
      <c r="G170" t="str">
        <f t="shared" si="27"/>
        <v>Pulau Timun</v>
      </c>
      <c r="H170" t="str">
        <f t="shared" si="28"/>
        <v>Pulau Timun</v>
      </c>
      <c r="I170" s="5">
        <f t="shared" ref="I170:I177" si="29">(MID(C170,1,2) + MID(C170,3,2)/60 + MID(C170,5,2)/3600) * IF(MID(C170,7,1)="S",-1,1)</f>
        <v>6.3130555555555556</v>
      </c>
      <c r="J170" s="5">
        <f t="shared" ref="J170:J177" si="30">(MID(C170,9,3) + MID(C170,12,2)/60 + MID(C170,14,2)/3600) * IF(MID(C170,16,1)="W",-1,1)</f>
        <v>99.914722222222224</v>
      </c>
    </row>
    <row r="171" spans="1:10" x14ac:dyDescent="0.25">
      <c r="A171" t="s">
        <v>574</v>
      </c>
      <c r="B171" t="s">
        <v>574</v>
      </c>
      <c r="C171" t="s">
        <v>586</v>
      </c>
      <c r="D171" t="str">
        <f t="shared" si="23"/>
        <v>ABEAM_PULAU_TUBA</v>
      </c>
      <c r="E171" t="str" cm="1">
        <f t="array" ref="E171">_xlfn.REDUCE(D171, _xlfn.SEQUENCE(ROWS(Abbreviations!$A$2:$A$12)), _xlfn.LAMBDA(_xlpm.text,_xlpm.i, SUBSTITUTE(_xlpm.text, INDEX(Abbreviations!$A$2:$A$12, _xlpm.i), INDEX(Abbreviations!$B$2:$B$12, _xlpm.i))))</f>
        <v>ABM_P_TUBA</v>
      </c>
      <c r="F171" t="s">
        <v>594</v>
      </c>
      <c r="G171" t="str">
        <f t="shared" si="27"/>
        <v>Abeam Pulau Tuba</v>
      </c>
      <c r="H171" t="str">
        <f t="shared" si="28"/>
        <v>Abeam Pulau Tuba</v>
      </c>
      <c r="I171" s="5">
        <f t="shared" si="29"/>
        <v>6.2672222222222222</v>
      </c>
      <c r="J171" s="5">
        <f t="shared" si="30"/>
        <v>99.888611111111118</v>
      </c>
    </row>
    <row r="172" spans="1:10" x14ac:dyDescent="0.25">
      <c r="A172" t="s">
        <v>577</v>
      </c>
      <c r="B172" t="s">
        <v>577</v>
      </c>
      <c r="C172" t="s">
        <v>585</v>
      </c>
      <c r="D172" t="str">
        <f t="shared" si="23"/>
        <v>PULAU_PAYA</v>
      </c>
      <c r="E172" t="str" cm="1">
        <f t="array" ref="E172">_xlfn.REDUCE(D172, _xlfn.SEQUENCE(ROWS(Abbreviations!$A$2:$A$12)), _xlfn.LAMBDA(_xlpm.text,_xlpm.i, SUBSTITUTE(_xlpm.text, INDEX(Abbreviations!$A$2:$A$12, _xlpm.i), INDEX(Abbreviations!$B$2:$B$12, _xlpm.i))))</f>
        <v>P_PAYA</v>
      </c>
      <c r="F172" t="s">
        <v>595</v>
      </c>
      <c r="G172" t="str">
        <f t="shared" si="27"/>
        <v>Pulau Paya</v>
      </c>
      <c r="H172" t="str">
        <f t="shared" si="28"/>
        <v>Pulau Paya</v>
      </c>
      <c r="I172" s="6">
        <v>6.0615899999999998</v>
      </c>
      <c r="J172" s="6">
        <v>100.04028</v>
      </c>
    </row>
    <row r="173" spans="1:10" x14ac:dyDescent="0.25">
      <c r="A173" t="s">
        <v>578</v>
      </c>
      <c r="B173" t="s">
        <v>578</v>
      </c>
      <c r="C173" t="s">
        <v>587</v>
      </c>
      <c r="D173" t="str">
        <f t="shared" si="23"/>
        <v>KUALA_PERLIS</v>
      </c>
      <c r="E173" t="str" cm="1">
        <f t="array" ref="E173">_xlfn.REDUCE(D173, _xlfn.SEQUENCE(ROWS(Abbreviations!$A$2:$A$12)), _xlfn.LAMBDA(_xlpm.text,_xlpm.i, SUBSTITUTE(_xlpm.text, INDEX(Abbreviations!$A$2:$A$12, _xlpm.i), INDEX(Abbreviations!$B$2:$B$12, _xlpm.i))))</f>
        <v>KUALA_PERLIS</v>
      </c>
      <c r="F173" t="s">
        <v>596</v>
      </c>
      <c r="G173" t="str">
        <f t="shared" si="27"/>
        <v>Kuala Perlis</v>
      </c>
      <c r="H173" t="str">
        <f t="shared" si="28"/>
        <v>Kuala Perlis</v>
      </c>
      <c r="I173" s="5">
        <f t="shared" si="29"/>
        <v>6.3986111111111112</v>
      </c>
      <c r="J173" s="5">
        <f t="shared" si="30"/>
        <v>100.1388888888889</v>
      </c>
    </row>
    <row r="174" spans="1:10" x14ac:dyDescent="0.25">
      <c r="A174" t="s">
        <v>579</v>
      </c>
      <c r="B174" t="s">
        <v>579</v>
      </c>
      <c r="C174" t="s">
        <v>588</v>
      </c>
      <c r="D174" t="str">
        <f t="shared" si="23"/>
        <v>AYER_HITAM</v>
      </c>
      <c r="E174" t="str" cm="1">
        <f t="array" ref="E174">_xlfn.REDUCE(D174, _xlfn.SEQUENCE(ROWS(Abbreviations!$A$2:$A$12)), _xlfn.LAMBDA(_xlpm.text,_xlpm.i, SUBSTITUTE(_xlpm.text, INDEX(Abbreviations!$A$2:$A$12, _xlpm.i), INDEX(Abbreviations!$B$2:$B$12, _xlpm.i))))</f>
        <v>AYER_HITAM</v>
      </c>
      <c r="F174" t="s">
        <v>597</v>
      </c>
      <c r="G174" t="str">
        <f t="shared" si="27"/>
        <v>Ayer Hitam</v>
      </c>
      <c r="H174" t="str">
        <f t="shared" si="28"/>
        <v>Ayer Hitam</v>
      </c>
      <c r="I174" s="5">
        <f t="shared" si="29"/>
        <v>6.2374999999999998</v>
      </c>
      <c r="J174" s="5">
        <f t="shared" si="30"/>
        <v>100.24833333333333</v>
      </c>
    </row>
    <row r="175" spans="1:10" x14ac:dyDescent="0.25">
      <c r="A175" t="s">
        <v>580</v>
      </c>
      <c r="B175" t="s">
        <v>580</v>
      </c>
      <c r="C175" t="s">
        <v>589</v>
      </c>
      <c r="D175" t="str">
        <f t="shared" si="23"/>
        <v>KUALA_KEDAH</v>
      </c>
      <c r="E175" t="str" cm="1">
        <f t="array" ref="E175">_xlfn.REDUCE(D175, _xlfn.SEQUENCE(ROWS(Abbreviations!$A$2:$A$12)), _xlfn.LAMBDA(_xlpm.text,_xlpm.i, SUBSTITUTE(_xlpm.text, INDEX(Abbreviations!$A$2:$A$12, _xlpm.i), INDEX(Abbreviations!$B$2:$B$12, _xlpm.i))))</f>
        <v>KUALA_KEDAH</v>
      </c>
      <c r="F175" t="s">
        <v>598</v>
      </c>
      <c r="G175" t="str">
        <f t="shared" si="27"/>
        <v>Kuala Kedah</v>
      </c>
      <c r="H175" t="str">
        <f t="shared" si="28"/>
        <v>Kuala Kedah</v>
      </c>
      <c r="I175" s="6">
        <v>6.1072699999999998</v>
      </c>
      <c r="J175" s="6">
        <v>100.29356</v>
      </c>
    </row>
    <row r="176" spans="1:10" x14ac:dyDescent="0.25">
      <c r="A176" t="s">
        <v>581</v>
      </c>
      <c r="B176" t="s">
        <v>581</v>
      </c>
      <c r="C176" t="s">
        <v>590</v>
      </c>
      <c r="D176" t="str">
        <f t="shared" si="23"/>
        <v>SIMPANG_EMPAT</v>
      </c>
      <c r="E176" t="str" cm="1">
        <f t="array" ref="E176">_xlfn.REDUCE(D176, _xlfn.SEQUENCE(ROWS(Abbreviations!$A$2:$A$12)), _xlfn.LAMBDA(_xlpm.text,_xlpm.i, SUBSTITUTE(_xlpm.text, INDEX(Abbreviations!$A$2:$A$12, _xlpm.i), INDEX(Abbreviations!$B$2:$B$12, _xlpm.i))))</f>
        <v>SIMPANG_EMPAT</v>
      </c>
      <c r="F176" t="s">
        <v>599</v>
      </c>
      <c r="G176" t="str">
        <f t="shared" si="27"/>
        <v>Simpang Empat</v>
      </c>
      <c r="H176" t="str">
        <f t="shared" si="28"/>
        <v>Simpang Empat</v>
      </c>
      <c r="I176" s="5">
        <f t="shared" si="29"/>
        <v>6.0241666666666669</v>
      </c>
      <c r="J176" s="5">
        <f t="shared" si="30"/>
        <v>100.38194444444444</v>
      </c>
    </row>
    <row r="177" spans="1:10" x14ac:dyDescent="0.25">
      <c r="A177" t="s">
        <v>582</v>
      </c>
      <c r="B177" t="s">
        <v>582</v>
      </c>
      <c r="C177" t="s">
        <v>591</v>
      </c>
      <c r="D177" t="str">
        <f t="shared" si="23"/>
        <v>KOTA_SARANG_SEMUT</v>
      </c>
      <c r="E177" t="str" cm="1">
        <f t="array" ref="E177">_xlfn.REDUCE(D177, _xlfn.SEQUENCE(ROWS(Abbreviations!$A$2:$A$12)), _xlfn.LAMBDA(_xlpm.text,_xlpm.i, SUBSTITUTE(_xlpm.text, INDEX(Abbreviations!$A$2:$A$12, _xlpm.i), INDEX(Abbreviations!$B$2:$B$12, _xlpm.i))))</f>
        <v>KOTA_SARANG_SEMUT</v>
      </c>
      <c r="F177" t="s">
        <v>600</v>
      </c>
      <c r="G177" t="str">
        <f t="shared" si="27"/>
        <v>Kota Sarang Semut</v>
      </c>
      <c r="H177" t="str">
        <f t="shared" si="28"/>
        <v>Kota Sarang Semut</v>
      </c>
      <c r="I177" s="5">
        <f t="shared" si="29"/>
        <v>5.9744444444444449</v>
      </c>
      <c r="J177" s="5">
        <f t="shared" si="30"/>
        <v>100.39972222222222</v>
      </c>
    </row>
    <row r="178" spans="1:10" x14ac:dyDescent="0.25">
      <c r="A178" t="s">
        <v>601</v>
      </c>
      <c r="B178" t="s">
        <v>601</v>
      </c>
      <c r="C178" t="s">
        <v>610</v>
      </c>
      <c r="D178" t="str">
        <f t="shared" si="23"/>
        <v>BATU_HAMPAR</v>
      </c>
      <c r="E178" t="str" cm="1">
        <f t="array" ref="E178">_xlfn.REDUCE(D178, _xlfn.SEQUENCE(ROWS(Abbreviations!$A$2:$A$12)), _xlfn.LAMBDA(_xlpm.text,_xlpm.i, SUBSTITUTE(_xlpm.text, INDEX(Abbreviations!$A$2:$A$12, _xlpm.i), INDEX(Abbreviations!$B$2:$B$12, _xlpm.i))))</f>
        <v>BATU_HAMPAR</v>
      </c>
      <c r="F178" t="s">
        <v>615</v>
      </c>
      <c r="G178" t="str">
        <f t="shared" ref="G178:G184" si="31">B178</f>
        <v>Batu Hampar</v>
      </c>
      <c r="H178" t="str">
        <f t="shared" ref="H178:H184" si="32">LEFT(G178,25)</f>
        <v>Batu Hampar</v>
      </c>
      <c r="I178" s="5">
        <f t="shared" ref="I178:I184" si="33">(MID(C178,1,2) + MID(C178,3,2)/60 + MID(C178,5,2)/3600) * IF(MID(C178,7,1)="S",-1,1)</f>
        <v>4.5322222222222219</v>
      </c>
      <c r="J178" s="5">
        <f t="shared" ref="J178:J184" si="34">(MID(C178,9,3) + MID(C178,12,2)/60 + MID(C178,14,2)/3600) * IF(MID(C178,16,1)="W",-1,1)</f>
        <v>100.71277777777777</v>
      </c>
    </row>
    <row r="179" spans="1:10" x14ac:dyDescent="0.25">
      <c r="A179" t="s">
        <v>602</v>
      </c>
      <c r="B179" t="s">
        <v>602</v>
      </c>
      <c r="C179" t="s">
        <v>611</v>
      </c>
      <c r="D179" t="str">
        <f t="shared" si="23"/>
        <v>PARIT</v>
      </c>
      <c r="E179" t="str" cm="1">
        <f t="array" ref="E179">_xlfn.REDUCE(D179, _xlfn.SEQUENCE(ROWS(Abbreviations!$A$2:$A$12)), _xlfn.LAMBDA(_xlpm.text,_xlpm.i, SUBSTITUTE(_xlpm.text, INDEX(Abbreviations!$A$2:$A$12, _xlpm.i), INDEX(Abbreviations!$B$2:$B$12, _xlpm.i))))</f>
        <v>PARIT</v>
      </c>
      <c r="F179" t="s">
        <v>617</v>
      </c>
      <c r="G179" t="str">
        <f t="shared" si="31"/>
        <v>Parit</v>
      </c>
      <c r="H179" t="str">
        <f t="shared" si="32"/>
        <v>Parit</v>
      </c>
      <c r="I179" s="5">
        <f t="shared" si="33"/>
        <v>4.4830555555555556</v>
      </c>
      <c r="J179" s="5">
        <f t="shared" si="34"/>
        <v>100.91083333333334</v>
      </c>
    </row>
    <row r="180" spans="1:10" x14ac:dyDescent="0.25">
      <c r="A180" t="s">
        <v>603</v>
      </c>
      <c r="B180" t="s">
        <v>603</v>
      </c>
      <c r="C180" t="s">
        <v>612</v>
      </c>
      <c r="D180" t="str">
        <f t="shared" si="23"/>
        <v>BATU_GAJAH</v>
      </c>
      <c r="E180" t="str" cm="1">
        <f t="array" ref="E180">_xlfn.REDUCE(D180, _xlfn.SEQUENCE(ROWS(Abbreviations!$A$2:$A$12)), _xlfn.LAMBDA(_xlpm.text,_xlpm.i, SUBSTITUTE(_xlpm.text, INDEX(Abbreviations!$A$2:$A$12, _xlpm.i), INDEX(Abbreviations!$B$2:$B$12, _xlpm.i))))</f>
        <v>BATU_GAJAH</v>
      </c>
      <c r="F180" t="s">
        <v>621</v>
      </c>
      <c r="G180" t="str">
        <f t="shared" si="31"/>
        <v>Batu Gajah</v>
      </c>
      <c r="H180" t="str">
        <f t="shared" si="32"/>
        <v>Batu Gajah</v>
      </c>
      <c r="I180" s="5">
        <f t="shared" si="33"/>
        <v>4.469444444444445</v>
      </c>
      <c r="J180" s="5">
        <f t="shared" si="34"/>
        <v>101.0436111111111</v>
      </c>
    </row>
    <row r="181" spans="1:10" x14ac:dyDescent="0.25">
      <c r="A181" t="s">
        <v>604</v>
      </c>
      <c r="B181" t="s">
        <v>604</v>
      </c>
      <c r="C181" t="s">
        <v>608</v>
      </c>
      <c r="D181" t="str">
        <f t="shared" si="23"/>
        <v>GOPENG</v>
      </c>
      <c r="E181" t="str" cm="1">
        <f t="array" ref="E181">_xlfn.REDUCE(D181, _xlfn.SEQUENCE(ROWS(Abbreviations!$A$2:$A$12)), _xlfn.LAMBDA(_xlpm.text,_xlpm.i, SUBSTITUTE(_xlpm.text, INDEX(Abbreviations!$A$2:$A$12, _xlpm.i), INDEX(Abbreviations!$B$2:$B$12, _xlpm.i))))</f>
        <v>GOPENG</v>
      </c>
      <c r="F181" t="s">
        <v>618</v>
      </c>
      <c r="G181" t="str">
        <f t="shared" si="31"/>
        <v>Gopeng</v>
      </c>
      <c r="H181" t="str">
        <f t="shared" si="32"/>
        <v>Gopeng</v>
      </c>
      <c r="I181" s="6">
        <f t="shared" si="33"/>
        <v>4.46</v>
      </c>
      <c r="J181" s="6">
        <f t="shared" si="34"/>
        <v>101.16000000000001</v>
      </c>
    </row>
    <row r="182" spans="1:10" x14ac:dyDescent="0.25">
      <c r="A182" t="s">
        <v>605</v>
      </c>
      <c r="B182" t="s">
        <v>605</v>
      </c>
      <c r="C182" t="s">
        <v>609</v>
      </c>
      <c r="D182" t="str">
        <f t="shared" si="23"/>
        <v>KAMPAR</v>
      </c>
      <c r="E182" t="str" cm="1">
        <f t="array" ref="E182">_xlfn.REDUCE(D182, _xlfn.SEQUENCE(ROWS(Abbreviations!$A$2:$A$12)), _xlfn.LAMBDA(_xlpm.text,_xlpm.i, SUBSTITUTE(_xlpm.text, INDEX(Abbreviations!$A$2:$A$12, _xlpm.i), INDEX(Abbreviations!$B$2:$B$12, _xlpm.i))))</f>
        <v>KAMPAR</v>
      </c>
      <c r="F182" t="s">
        <v>619</v>
      </c>
      <c r="G182" t="str">
        <f t="shared" si="31"/>
        <v>Kampar</v>
      </c>
      <c r="H182" t="str">
        <f t="shared" si="32"/>
        <v>Kampar</v>
      </c>
      <c r="I182" s="6">
        <v>4.2997800000000002</v>
      </c>
      <c r="J182" s="6">
        <v>101.15733</v>
      </c>
    </row>
    <row r="183" spans="1:10" x14ac:dyDescent="0.25">
      <c r="A183" t="s">
        <v>606</v>
      </c>
      <c r="B183" t="s">
        <v>606</v>
      </c>
      <c r="C183" t="s">
        <v>613</v>
      </c>
      <c r="D183" t="str">
        <f t="shared" si="23"/>
        <v>TELUK_INTAN</v>
      </c>
      <c r="E183" t="str" cm="1">
        <f t="array" ref="E183">_xlfn.REDUCE(D183, _xlfn.SEQUENCE(ROWS(Abbreviations!$A$2:$A$12)), _xlfn.LAMBDA(_xlpm.text,_xlpm.i, SUBSTITUTE(_xlpm.text, INDEX(Abbreviations!$A$2:$A$12, _xlpm.i), INDEX(Abbreviations!$B$2:$B$12, _xlpm.i))))</f>
        <v>TELUK_INTAN</v>
      </c>
      <c r="F183" t="s">
        <v>616</v>
      </c>
      <c r="G183" t="str">
        <f t="shared" si="31"/>
        <v>Teluk Intan</v>
      </c>
      <c r="H183" t="str">
        <f t="shared" si="32"/>
        <v>Teluk Intan</v>
      </c>
      <c r="I183" s="6">
        <v>4.0212899999999996</v>
      </c>
      <c r="J183" s="6">
        <v>101.02543</v>
      </c>
    </row>
    <row r="184" spans="1:10" x14ac:dyDescent="0.25">
      <c r="A184" t="s">
        <v>607</v>
      </c>
      <c r="B184" t="s">
        <v>607</v>
      </c>
      <c r="C184" t="s">
        <v>614</v>
      </c>
      <c r="D184" t="str">
        <f t="shared" si="23"/>
        <v>BIDOR</v>
      </c>
      <c r="E184" t="str" cm="1">
        <f t="array" ref="E184">_xlfn.REDUCE(D184, _xlfn.SEQUENCE(ROWS(Abbreviations!$A$2:$A$12)), _xlfn.LAMBDA(_xlpm.text,_xlpm.i, SUBSTITUTE(_xlpm.text, INDEX(Abbreviations!$A$2:$A$12, _xlpm.i), INDEX(Abbreviations!$B$2:$B$12, _xlpm.i))))</f>
        <v>BIDOR</v>
      </c>
      <c r="F184" t="s">
        <v>620</v>
      </c>
      <c r="G184" t="str">
        <f t="shared" si="31"/>
        <v>Bidor</v>
      </c>
      <c r="H184" t="str">
        <f t="shared" si="32"/>
        <v>Bidor</v>
      </c>
      <c r="I184" s="5">
        <f t="shared" si="33"/>
        <v>4.1133333333333333</v>
      </c>
      <c r="J184" s="5">
        <f t="shared" si="34"/>
        <v>101.28583333333333</v>
      </c>
    </row>
  </sheetData>
  <pageMargins left="0.7" right="0.7" top="0.75" bottom="0.75" header="0.3" footer="0.3"/>
  <pageSetup paperSize="9" orientation="portrait" horizontalDpi="300" verticalDpi="30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3D512-9EC5-4A5D-A16A-E672937134E0}">
  <dimension ref="A1:B12"/>
  <sheetViews>
    <sheetView workbookViewId="0">
      <selection activeCell="B11" sqref="B11"/>
    </sheetView>
  </sheetViews>
  <sheetFormatPr defaultRowHeight="15" x14ac:dyDescent="0.25"/>
  <cols>
    <col min="1" max="1" width="10.7109375" bestFit="1" customWidth="1"/>
  </cols>
  <sheetData>
    <row r="1" spans="1:2" x14ac:dyDescent="0.25">
      <c r="A1" t="s">
        <v>245</v>
      </c>
      <c r="B1" t="s">
        <v>246</v>
      </c>
    </row>
    <row r="2" spans="1:2" x14ac:dyDescent="0.25">
      <c r="A2" t="s">
        <v>268</v>
      </c>
      <c r="B2" t="s">
        <v>247</v>
      </c>
    </row>
    <row r="3" spans="1:2" x14ac:dyDescent="0.25">
      <c r="A3" t="s">
        <v>248</v>
      </c>
      <c r="B3" t="s">
        <v>249</v>
      </c>
    </row>
    <row r="4" spans="1:2" x14ac:dyDescent="0.25">
      <c r="A4" t="s">
        <v>270</v>
      </c>
      <c r="B4" t="s">
        <v>271</v>
      </c>
    </row>
    <row r="5" spans="1:2" x14ac:dyDescent="0.25">
      <c r="A5" t="s">
        <v>250</v>
      </c>
      <c r="B5" t="s">
        <v>251</v>
      </c>
    </row>
    <row r="6" spans="1:2" x14ac:dyDescent="0.25">
      <c r="A6" t="s">
        <v>257</v>
      </c>
      <c r="B6" t="s">
        <v>258</v>
      </c>
    </row>
    <row r="7" spans="1:2" x14ac:dyDescent="0.25">
      <c r="A7" t="s">
        <v>259</v>
      </c>
      <c r="B7" t="s">
        <v>260</v>
      </c>
    </row>
    <row r="8" spans="1:2" x14ac:dyDescent="0.25">
      <c r="A8" t="s">
        <v>261</v>
      </c>
      <c r="B8" t="s">
        <v>262</v>
      </c>
    </row>
    <row r="9" spans="1:2" x14ac:dyDescent="0.25">
      <c r="A9" t="s">
        <v>263</v>
      </c>
      <c r="B9" t="s">
        <v>264</v>
      </c>
    </row>
    <row r="10" spans="1:2" x14ac:dyDescent="0.25">
      <c r="A10" t="s">
        <v>575</v>
      </c>
      <c r="B10" t="s">
        <v>576</v>
      </c>
    </row>
    <row r="11" spans="1:2" x14ac:dyDescent="0.25">
      <c r="A11" t="s">
        <v>316</v>
      </c>
      <c r="B11" t="s">
        <v>317</v>
      </c>
    </row>
    <row r="12" spans="1:2" x14ac:dyDescent="0.25">
      <c r="A12" t="s">
        <v>265</v>
      </c>
      <c r="B12" t="s">
        <v>266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Google My Maps Output</vt:lpstr>
      <vt:lpstr>Garmin Output</vt:lpstr>
      <vt:lpstr>Source Data</vt:lpstr>
      <vt:lpstr>Abbreviations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Joel Chan</dc:creator>
  <cp:lastModifiedBy>Joel Chan</cp:lastModifiedBy>
  <dcterms:created xsi:type="dcterms:W3CDTF">2015-06-05T18:17:20Z</dcterms:created>
  <dcterms:modified xsi:type="dcterms:W3CDTF">2026-10-03T15:37:47Z</dcterms:modified>
</cp:coreProperties>
</file>