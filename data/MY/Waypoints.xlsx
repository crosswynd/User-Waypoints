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J:\Projects\VFR Waypoints\data\MY\"/>
    </mc:Choice>
  </mc:AlternateContent>
  <xr:revisionPtr revIDLastSave="0" documentId="13_ncr:1_{87DFDE73-A448-486B-8673-258C6CBAF997}" xr6:coauthVersionLast="47" xr6:coauthVersionMax="47" xr10:uidLastSave="{00000000-0000-0000-0000-000000000000}"/>
  <bookViews>
    <workbookView xWindow="9465" yWindow="945" windowWidth="25470" windowHeight="20235" activeTab="2" xr2:uid="{00000000-000D-0000-FFFF-FFFF00000000}"/>
  </bookViews>
  <sheets>
    <sheet name="Google My Maps Output" sheetId="3" r:id="rId1"/>
    <sheet name="Garmin Output" sheetId="5" r:id="rId2"/>
    <sheet name="Source Data" sheetId="1" r:id="rId3"/>
    <sheet name="Abbreviation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5" l="1" a="1"/>
  <c r="F2" i="5" s="1"/>
  <c r="E2" i="5" a="1"/>
  <c r="E2" i="5" s="1"/>
  <c r="D2" i="5" a="1"/>
  <c r="D2" i="5" s="1"/>
  <c r="A2" i="5" a="1"/>
  <c r="A2" i="5" s="1"/>
  <c r="H81" i="1"/>
  <c r="H69" i="1"/>
  <c r="H67" i="1"/>
  <c r="H66" i="1"/>
  <c r="H33" i="1"/>
  <c r="H21" i="1"/>
  <c r="H19" i="1"/>
  <c r="H18" i="1"/>
  <c r="D113" i="1"/>
  <c r="D112" i="1"/>
  <c r="D111" i="1"/>
  <c r="D110" i="1"/>
  <c r="D109" i="1"/>
  <c r="D108" i="1"/>
  <c r="D107" i="1"/>
  <c r="E107" i="1" s="1" a="1"/>
  <c r="E107" i="1" s="1"/>
  <c r="D106" i="1"/>
  <c r="E106" i="1" s="1" a="1"/>
  <c r="E106" i="1" s="1"/>
  <c r="D105" i="1"/>
  <c r="E105" i="1" s="1" a="1"/>
  <c r="E105" i="1" s="1"/>
  <c r="D104" i="1"/>
  <c r="D103" i="1"/>
  <c r="E103" i="1" s="1" a="1"/>
  <c r="E103" i="1" s="1"/>
  <c r="D102" i="1"/>
  <c r="E102" i="1" s="1" a="1"/>
  <c r="E102" i="1" s="1"/>
  <c r="D101" i="1"/>
  <c r="D100" i="1"/>
  <c r="D99" i="1"/>
  <c r="D98" i="1"/>
  <c r="D97" i="1"/>
  <c r="D96" i="1"/>
  <c r="D95" i="1"/>
  <c r="E95" i="1" s="1" a="1"/>
  <c r="E95" i="1" s="1"/>
  <c r="D94" i="1"/>
  <c r="E94" i="1" s="1" a="1"/>
  <c r="E94" i="1" s="1"/>
  <c r="D93" i="1"/>
  <c r="E93" i="1" s="1" a="1"/>
  <c r="E93" i="1" s="1"/>
  <c r="D92" i="1"/>
  <c r="D91" i="1"/>
  <c r="E91" i="1" s="1" a="1"/>
  <c r="E91" i="1" s="1"/>
  <c r="D90" i="1"/>
  <c r="E90" i="1" s="1" a="1"/>
  <c r="E90" i="1" s="1"/>
  <c r="D89" i="1"/>
  <c r="D88" i="1"/>
  <c r="D87" i="1"/>
  <c r="D86" i="1"/>
  <c r="D85" i="1"/>
  <c r="D84" i="1"/>
  <c r="D83" i="1"/>
  <c r="E83" i="1" s="1" a="1"/>
  <c r="E83" i="1" s="1"/>
  <c r="D82" i="1"/>
  <c r="E82" i="1" s="1" a="1"/>
  <c r="E82" i="1" s="1"/>
  <c r="D81" i="1"/>
  <c r="E81" i="1" s="1" a="1"/>
  <c r="E81" i="1" s="1"/>
  <c r="D80" i="1"/>
  <c r="D79" i="1"/>
  <c r="E79" i="1" s="1" a="1"/>
  <c r="E79" i="1" s="1"/>
  <c r="D78" i="1"/>
  <c r="E78" i="1" s="1" a="1"/>
  <c r="E78" i="1" s="1"/>
  <c r="D77" i="1"/>
  <c r="D76" i="1"/>
  <c r="D75" i="1"/>
  <c r="D74" i="1"/>
  <c r="D73" i="1"/>
  <c r="D72" i="1"/>
  <c r="E72" i="1" s="1" a="1"/>
  <c r="E72" i="1" s="1"/>
  <c r="D71" i="1"/>
  <c r="E71" i="1" s="1" a="1"/>
  <c r="E71" i="1" s="1"/>
  <c r="D70" i="1"/>
  <c r="E70" i="1" s="1" a="1"/>
  <c r="E70" i="1" s="1"/>
  <c r="D69" i="1"/>
  <c r="E69" i="1" s="1" a="1"/>
  <c r="E69" i="1" s="1"/>
  <c r="D68" i="1"/>
  <c r="D67" i="1"/>
  <c r="E67" i="1" s="1" a="1"/>
  <c r="E67" i="1" s="1"/>
  <c r="D66" i="1"/>
  <c r="E66" i="1" s="1" a="1"/>
  <c r="E66" i="1" s="1"/>
  <c r="D65" i="1"/>
  <c r="D64" i="1"/>
  <c r="E64" i="1" s="1" a="1"/>
  <c r="E64" i="1" s="1"/>
  <c r="D63" i="1"/>
  <c r="D62" i="1"/>
  <c r="D61" i="1"/>
  <c r="D60" i="1"/>
  <c r="D59" i="1"/>
  <c r="E59" i="1" s="1" a="1"/>
  <c r="E59" i="1" s="1"/>
  <c r="D58" i="1"/>
  <c r="E58" i="1" s="1" a="1"/>
  <c r="E58" i="1" s="1"/>
  <c r="D57" i="1"/>
  <c r="D56" i="1"/>
  <c r="D55" i="1"/>
  <c r="E55" i="1" s="1" a="1"/>
  <c r="E55" i="1" s="1"/>
  <c r="D54" i="1"/>
  <c r="E54" i="1" s="1" a="1"/>
  <c r="E54" i="1" s="1"/>
  <c r="D53" i="1"/>
  <c r="D52" i="1"/>
  <c r="D51" i="1"/>
  <c r="D50" i="1"/>
  <c r="D49" i="1"/>
  <c r="D48" i="1"/>
  <c r="D47" i="1"/>
  <c r="E47" i="1" s="1" a="1"/>
  <c r="E47" i="1" s="1"/>
  <c r="D46" i="1"/>
  <c r="E46" i="1" s="1" a="1"/>
  <c r="E46" i="1" s="1"/>
  <c r="D45" i="1"/>
  <c r="E45" i="1" s="1" a="1"/>
  <c r="E45" i="1" s="1"/>
  <c r="D44" i="1"/>
  <c r="D43" i="1"/>
  <c r="E43" i="1" s="1" a="1"/>
  <c r="E43" i="1" s="1"/>
  <c r="D42" i="1"/>
  <c r="E42" i="1" s="1" a="1"/>
  <c r="E42" i="1" s="1"/>
  <c r="D41" i="1"/>
  <c r="D40" i="1"/>
  <c r="D39" i="1"/>
  <c r="D38" i="1"/>
  <c r="D37" i="1"/>
  <c r="D36" i="1"/>
  <c r="D35" i="1"/>
  <c r="D34" i="1"/>
  <c r="E34" i="1" s="1" a="1"/>
  <c r="E34" i="1" s="1"/>
  <c r="D33" i="1"/>
  <c r="E33" i="1" s="1" a="1"/>
  <c r="E33" i="1" s="1"/>
  <c r="D32" i="1"/>
  <c r="D31" i="1"/>
  <c r="E31" i="1" s="1" a="1"/>
  <c r="E31" i="1" s="1"/>
  <c r="D30" i="1"/>
  <c r="E30" i="1" s="1" a="1"/>
  <c r="E30" i="1" s="1"/>
  <c r="D29" i="1"/>
  <c r="D28" i="1"/>
  <c r="E28" i="1" s="1" a="1"/>
  <c r="E28" i="1" s="1"/>
  <c r="D26" i="1"/>
  <c r="E26" i="1" s="1" a="1"/>
  <c r="E26" i="1" s="1"/>
  <c r="D25" i="1"/>
  <c r="E25" i="1" s="1" a="1"/>
  <c r="E25" i="1" s="1"/>
  <c r="D24" i="1"/>
  <c r="D23" i="1"/>
  <c r="D22" i="1"/>
  <c r="E22" i="1" s="1" a="1"/>
  <c r="E22" i="1" s="1"/>
  <c r="D21" i="1"/>
  <c r="E21" i="1" s="1" a="1"/>
  <c r="E21" i="1" s="1"/>
  <c r="D20" i="1"/>
  <c r="E20" i="1" s="1" a="1"/>
  <c r="E20" i="1" s="1"/>
  <c r="D19" i="1"/>
  <c r="D18" i="1"/>
  <c r="E18" i="1" s="1" a="1"/>
  <c r="E18" i="1" s="1"/>
  <c r="D17" i="1"/>
  <c r="E17" i="1" s="1" a="1"/>
  <c r="E17" i="1" s="1"/>
  <c r="D16" i="1"/>
  <c r="D15" i="1"/>
  <c r="E15" i="1" s="1" a="1"/>
  <c r="E15" i="1" s="1"/>
  <c r="D14" i="1"/>
  <c r="E14" i="1" s="1" a="1"/>
  <c r="E14" i="1" s="1"/>
  <c r="D13" i="1"/>
  <c r="E13" i="1" s="1" a="1"/>
  <c r="E13" i="1" s="1"/>
  <c r="D12" i="1"/>
  <c r="D11" i="1"/>
  <c r="E11" i="1" s="1" a="1"/>
  <c r="E11" i="1" s="1"/>
  <c r="D10" i="1"/>
  <c r="E10" i="1" s="1" a="1"/>
  <c r="E10" i="1" s="1"/>
  <c r="D9" i="1"/>
  <c r="E9" i="1" s="1" a="1"/>
  <c r="E9" i="1" s="1"/>
  <c r="D8" i="1"/>
  <c r="E8" i="1" s="1" a="1"/>
  <c r="E8" i="1" s="1"/>
  <c r="D7" i="1"/>
  <c r="D6" i="1"/>
  <c r="E6" i="1" s="1" a="1"/>
  <c r="E6" i="1" s="1"/>
  <c r="D5" i="1"/>
  <c r="E5" i="1" s="1" a="1"/>
  <c r="E5" i="1" s="1"/>
  <c r="D4" i="1"/>
  <c r="D3" i="1"/>
  <c r="D2" i="1"/>
  <c r="E2" i="1" s="1" a="1"/>
  <c r="E2" i="1" s="1"/>
  <c r="D27" i="1"/>
  <c r="E27" i="1" s="1" a="1"/>
  <c r="E27" i="1" s="1"/>
  <c r="G113" i="1"/>
  <c r="H113" i="1" s="1"/>
  <c r="G112" i="1"/>
  <c r="H112" i="1" s="1"/>
  <c r="G111" i="1"/>
  <c r="H111" i="1" s="1"/>
  <c r="G110" i="1"/>
  <c r="H110" i="1" s="1"/>
  <c r="G109" i="1"/>
  <c r="H109" i="1" s="1"/>
  <c r="G108" i="1"/>
  <c r="H108" i="1" s="1"/>
  <c r="G107" i="1"/>
  <c r="H107" i="1" s="1"/>
  <c r="G106" i="1"/>
  <c r="H106" i="1" s="1"/>
  <c r="G105" i="1"/>
  <c r="H105" i="1" s="1"/>
  <c r="G104" i="1"/>
  <c r="H104" i="1" s="1"/>
  <c r="G103" i="1"/>
  <c r="H103" i="1" s="1"/>
  <c r="G102" i="1"/>
  <c r="H102" i="1" s="1"/>
  <c r="G101" i="1"/>
  <c r="H101" i="1" s="1"/>
  <c r="G100" i="1"/>
  <c r="H100" i="1" s="1"/>
  <c r="G99" i="1"/>
  <c r="H99" i="1" s="1"/>
  <c r="G98" i="1"/>
  <c r="H98" i="1" s="1"/>
  <c r="G97" i="1"/>
  <c r="H97" i="1" s="1"/>
  <c r="G96" i="1"/>
  <c r="H96" i="1" s="1"/>
  <c r="G95" i="1"/>
  <c r="H95" i="1" s="1"/>
  <c r="G94" i="1"/>
  <c r="H94" i="1" s="1"/>
  <c r="G93" i="1"/>
  <c r="H93" i="1" s="1"/>
  <c r="G92" i="1"/>
  <c r="H92" i="1" s="1"/>
  <c r="G91" i="1"/>
  <c r="H91" i="1" s="1"/>
  <c r="G90" i="1"/>
  <c r="H90" i="1" s="1"/>
  <c r="G89" i="1"/>
  <c r="H89" i="1" s="1"/>
  <c r="G88" i="1"/>
  <c r="H88" i="1" s="1"/>
  <c r="G87" i="1"/>
  <c r="H87" i="1" s="1"/>
  <c r="G86" i="1"/>
  <c r="H86" i="1" s="1"/>
  <c r="G85" i="1"/>
  <c r="H85" i="1" s="1"/>
  <c r="G84" i="1"/>
  <c r="H84" i="1" s="1"/>
  <c r="G83" i="1"/>
  <c r="H83" i="1" s="1"/>
  <c r="G82" i="1"/>
  <c r="H82" i="1" s="1"/>
  <c r="G81" i="1"/>
  <c r="G80" i="1"/>
  <c r="H80" i="1" s="1"/>
  <c r="G79" i="1"/>
  <c r="H79" i="1" s="1"/>
  <c r="G78" i="1"/>
  <c r="H78" i="1" s="1"/>
  <c r="G77" i="1"/>
  <c r="H77" i="1" s="1"/>
  <c r="G76" i="1"/>
  <c r="H76" i="1" s="1"/>
  <c r="G75" i="1"/>
  <c r="H75" i="1" s="1"/>
  <c r="G74" i="1"/>
  <c r="H74" i="1" s="1"/>
  <c r="G73" i="1"/>
  <c r="H73" i="1" s="1"/>
  <c r="G72" i="1"/>
  <c r="H72" i="1" s="1"/>
  <c r="G71" i="1"/>
  <c r="H71" i="1" s="1"/>
  <c r="G70" i="1"/>
  <c r="H70" i="1" s="1"/>
  <c r="G69" i="1"/>
  <c r="G68" i="1"/>
  <c r="H68" i="1" s="1"/>
  <c r="G67" i="1"/>
  <c r="G66" i="1"/>
  <c r="G65" i="1"/>
  <c r="H65" i="1" s="1"/>
  <c r="G64" i="1"/>
  <c r="H64" i="1" s="1"/>
  <c r="G63" i="1"/>
  <c r="H63" i="1" s="1"/>
  <c r="G62" i="1"/>
  <c r="H62" i="1" s="1"/>
  <c r="G61" i="1"/>
  <c r="H61" i="1" s="1"/>
  <c r="G60" i="1"/>
  <c r="H60" i="1" s="1"/>
  <c r="G59" i="1"/>
  <c r="H59" i="1" s="1"/>
  <c r="G58" i="1"/>
  <c r="H58" i="1" s="1"/>
  <c r="G57" i="1"/>
  <c r="H57" i="1" s="1"/>
  <c r="G56" i="1"/>
  <c r="H56" i="1" s="1"/>
  <c r="G55" i="1"/>
  <c r="H55" i="1" s="1"/>
  <c r="G54" i="1"/>
  <c r="H54" i="1" s="1"/>
  <c r="G53" i="1"/>
  <c r="H53" i="1" s="1"/>
  <c r="G52" i="1"/>
  <c r="H52" i="1" s="1"/>
  <c r="G51" i="1"/>
  <c r="H51" i="1" s="1"/>
  <c r="G50" i="1"/>
  <c r="H50" i="1" s="1"/>
  <c r="G49" i="1"/>
  <c r="H49" i="1" s="1"/>
  <c r="G48" i="1"/>
  <c r="H48" i="1" s="1"/>
  <c r="G47" i="1"/>
  <c r="H47" i="1" s="1"/>
  <c r="G46" i="1"/>
  <c r="H46" i="1" s="1"/>
  <c r="G45" i="1"/>
  <c r="H45" i="1" s="1"/>
  <c r="G44" i="1"/>
  <c r="H44" i="1" s="1"/>
  <c r="G43" i="1"/>
  <c r="H43" i="1" s="1"/>
  <c r="G42" i="1"/>
  <c r="H42" i="1" s="1"/>
  <c r="G41" i="1"/>
  <c r="H41" i="1" s="1"/>
  <c r="G40" i="1"/>
  <c r="H40" i="1" s="1"/>
  <c r="G39" i="1"/>
  <c r="H39" i="1" s="1"/>
  <c r="G38" i="1"/>
  <c r="H38" i="1" s="1"/>
  <c r="G37" i="1"/>
  <c r="H37" i="1" s="1"/>
  <c r="G36" i="1"/>
  <c r="H36" i="1" s="1"/>
  <c r="G35" i="1"/>
  <c r="H35" i="1" s="1"/>
  <c r="G34" i="1"/>
  <c r="H34" i="1" s="1"/>
  <c r="G33" i="1"/>
  <c r="G32" i="1"/>
  <c r="H32" i="1" s="1"/>
  <c r="G31" i="1"/>
  <c r="H31" i="1" s="1"/>
  <c r="G30" i="1"/>
  <c r="H30" i="1" s="1"/>
  <c r="G29" i="1"/>
  <c r="H29" i="1" s="1"/>
  <c r="G28" i="1"/>
  <c r="H28" i="1" s="1"/>
  <c r="G27" i="1"/>
  <c r="H27" i="1" s="1"/>
  <c r="G26" i="1"/>
  <c r="H26" i="1" s="1"/>
  <c r="G25" i="1"/>
  <c r="H25" i="1" s="1"/>
  <c r="G24" i="1"/>
  <c r="H24" i="1" s="1"/>
  <c r="G23" i="1"/>
  <c r="H23" i="1" s="1"/>
  <c r="G22" i="1"/>
  <c r="H22" i="1" s="1"/>
  <c r="G21" i="1"/>
  <c r="G20" i="1"/>
  <c r="H20" i="1" s="1"/>
  <c r="G19" i="1"/>
  <c r="G18" i="1"/>
  <c r="G17" i="1"/>
  <c r="H17" i="1" s="1"/>
  <c r="G16" i="1"/>
  <c r="H16" i="1" s="1"/>
  <c r="G15" i="1"/>
  <c r="H15" i="1" s="1"/>
  <c r="G14" i="1"/>
  <c r="H14" i="1" s="1"/>
  <c r="G13" i="1"/>
  <c r="H13" i="1" s="1"/>
  <c r="G12" i="1"/>
  <c r="H12" i="1" s="1"/>
  <c r="G11" i="1"/>
  <c r="H11" i="1" s="1"/>
  <c r="G10" i="1"/>
  <c r="H10" i="1" s="1"/>
  <c r="G9" i="1"/>
  <c r="H9" i="1" s="1"/>
  <c r="G8" i="1"/>
  <c r="H8" i="1" s="1"/>
  <c r="G7" i="1"/>
  <c r="H7" i="1" s="1"/>
  <c r="G6" i="1"/>
  <c r="H6" i="1" s="1"/>
  <c r="G5" i="1"/>
  <c r="H5" i="1" s="1"/>
  <c r="G4" i="1"/>
  <c r="H4" i="1" s="1"/>
  <c r="G3" i="1"/>
  <c r="H3" i="1" s="1"/>
  <c r="G2" i="1"/>
  <c r="H2" i="1" s="1"/>
  <c r="E57" i="1" a="1"/>
  <c r="E57" i="1" s="1"/>
  <c r="E24" i="1" a="1"/>
  <c r="E24" i="1" s="1"/>
  <c r="E23" i="1" a="1"/>
  <c r="E23" i="1" s="1"/>
  <c r="E19" i="1" a="1"/>
  <c r="E19" i="1" s="1"/>
  <c r="E16" i="1" a="1"/>
  <c r="E16" i="1" s="1"/>
  <c r="E12" i="1" a="1"/>
  <c r="E12" i="1" s="1"/>
  <c r="E7" i="1" a="1"/>
  <c r="E7" i="1" s="1"/>
  <c r="E4" i="1" a="1"/>
  <c r="E4" i="1" s="1"/>
  <c r="E3" i="1" a="1"/>
  <c r="E3" i="1" s="1"/>
  <c r="I113" i="1"/>
  <c r="J113" i="1"/>
  <c r="E113" i="1" a="1"/>
  <c r="E113" i="1" s="1"/>
  <c r="I112" i="1"/>
  <c r="J112" i="1"/>
  <c r="E112" i="1" a="1"/>
  <c r="E112" i="1" s="1"/>
  <c r="I111" i="1"/>
  <c r="J111" i="1"/>
  <c r="E111" i="1" a="1"/>
  <c r="E111" i="1" s="1"/>
  <c r="I110" i="1"/>
  <c r="J110" i="1"/>
  <c r="E110" i="1" a="1"/>
  <c r="E110" i="1" s="1"/>
  <c r="I109" i="1"/>
  <c r="J109" i="1"/>
  <c r="E109" i="1" a="1"/>
  <c r="E109" i="1" s="1"/>
  <c r="I108" i="1"/>
  <c r="J108" i="1"/>
  <c r="E108" i="1" a="1"/>
  <c r="E108" i="1" s="1"/>
  <c r="I107" i="1"/>
  <c r="J107" i="1"/>
  <c r="I106" i="1"/>
  <c r="J106" i="1"/>
  <c r="I105" i="1"/>
  <c r="J105" i="1"/>
  <c r="E104" i="1" a="1"/>
  <c r="E104" i="1" s="1"/>
  <c r="I104" i="1"/>
  <c r="J104" i="1"/>
  <c r="E101" i="1" a="1"/>
  <c r="E101" i="1" s="1"/>
  <c r="E100" i="1" a="1"/>
  <c r="E100" i="1" s="1"/>
  <c r="E99" i="1" a="1"/>
  <c r="E99" i="1" s="1"/>
  <c r="E98" i="1" a="1"/>
  <c r="E98" i="1" s="1"/>
  <c r="E97" i="1" a="1"/>
  <c r="E97" i="1" s="1"/>
  <c r="E96" i="1" a="1"/>
  <c r="E96" i="1" s="1"/>
  <c r="E92" i="1" a="1"/>
  <c r="E92" i="1" s="1"/>
  <c r="E89" i="1" a="1"/>
  <c r="E89" i="1" s="1"/>
  <c r="E88" i="1" a="1"/>
  <c r="E88" i="1" s="1"/>
  <c r="E87" i="1" a="1"/>
  <c r="E87" i="1" s="1"/>
  <c r="E86" i="1" a="1"/>
  <c r="E86" i="1" s="1"/>
  <c r="E85" i="1" a="1"/>
  <c r="E85" i="1" s="1"/>
  <c r="E84" i="1" a="1"/>
  <c r="E84" i="1" s="1"/>
  <c r="E80" i="1" a="1"/>
  <c r="E80" i="1" s="1"/>
  <c r="E77" i="1" a="1"/>
  <c r="E77" i="1" s="1"/>
  <c r="E76" i="1" a="1"/>
  <c r="E76" i="1" s="1"/>
  <c r="E75" i="1" a="1"/>
  <c r="E75" i="1" s="1"/>
  <c r="E74" i="1" a="1"/>
  <c r="E74" i="1" s="1"/>
  <c r="E73" i="1" a="1"/>
  <c r="E73" i="1" s="1"/>
  <c r="E68" i="1" a="1"/>
  <c r="E68" i="1" s="1"/>
  <c r="E65" i="1" a="1"/>
  <c r="E65" i="1" s="1"/>
  <c r="E63" i="1" a="1"/>
  <c r="E63" i="1" s="1"/>
  <c r="E62" i="1" a="1"/>
  <c r="E62" i="1" s="1"/>
  <c r="E61" i="1" a="1"/>
  <c r="E61" i="1" s="1"/>
  <c r="E60" i="1" a="1"/>
  <c r="E60" i="1" s="1"/>
  <c r="E56" i="1" a="1"/>
  <c r="E56" i="1" s="1"/>
  <c r="E53" i="1" a="1"/>
  <c r="E53" i="1" s="1"/>
  <c r="E52" i="1" a="1"/>
  <c r="E52" i="1" s="1"/>
  <c r="E51" i="1" a="1"/>
  <c r="E51" i="1" s="1"/>
  <c r="E50" i="1" a="1"/>
  <c r="E50" i="1" s="1"/>
  <c r="E49" i="1" a="1"/>
  <c r="E49" i="1" s="1"/>
  <c r="E48" i="1" a="1"/>
  <c r="E48" i="1" s="1"/>
  <c r="E44" i="1" a="1"/>
  <c r="E44" i="1" s="1"/>
  <c r="E41" i="1" a="1"/>
  <c r="E41" i="1" s="1"/>
  <c r="E40" i="1" a="1"/>
  <c r="E40" i="1" s="1"/>
  <c r="E39" i="1" a="1"/>
  <c r="E39" i="1" s="1"/>
  <c r="E38" i="1" a="1"/>
  <c r="E38" i="1" s="1"/>
  <c r="E37" i="1" a="1"/>
  <c r="E37" i="1" s="1"/>
  <c r="E36" i="1" a="1"/>
  <c r="E36" i="1" s="1"/>
  <c r="E35" i="1" a="1"/>
  <c r="E35" i="1" s="1"/>
  <c r="E32" i="1" a="1"/>
  <c r="E32" i="1" s="1"/>
  <c r="E29" i="1" a="1"/>
  <c r="E29" i="1" s="1"/>
  <c r="J103" i="1"/>
  <c r="I103" i="1"/>
  <c r="J102" i="1"/>
  <c r="I102" i="1"/>
  <c r="J101" i="1"/>
  <c r="I101" i="1"/>
  <c r="J100" i="1"/>
  <c r="I100" i="1"/>
  <c r="J99" i="1"/>
  <c r="I99" i="1"/>
  <c r="J98" i="1"/>
  <c r="I98" i="1"/>
  <c r="J97" i="1"/>
  <c r="I97" i="1"/>
  <c r="J96" i="1"/>
  <c r="I96" i="1"/>
  <c r="J95" i="1"/>
  <c r="I95" i="1"/>
  <c r="J94" i="1"/>
  <c r="I94" i="1"/>
  <c r="J93" i="1"/>
  <c r="I93" i="1"/>
  <c r="J92" i="1"/>
  <c r="I92" i="1"/>
  <c r="J91" i="1"/>
  <c r="I91" i="1"/>
  <c r="J90" i="1"/>
  <c r="I90" i="1"/>
  <c r="J89" i="1"/>
  <c r="I89" i="1"/>
  <c r="J88" i="1"/>
  <c r="I88" i="1"/>
  <c r="J87" i="1"/>
  <c r="I87" i="1"/>
  <c r="J86" i="1"/>
  <c r="I86" i="1"/>
  <c r="J85" i="1"/>
  <c r="I85" i="1"/>
  <c r="J84" i="1"/>
  <c r="I84" i="1"/>
  <c r="J83" i="1"/>
  <c r="I83" i="1"/>
  <c r="J82" i="1"/>
  <c r="I82" i="1"/>
  <c r="J81" i="1"/>
  <c r="I81" i="1"/>
  <c r="J80" i="1"/>
  <c r="I80" i="1"/>
  <c r="J79" i="1"/>
  <c r="I79" i="1"/>
  <c r="J78" i="1"/>
  <c r="I78" i="1"/>
  <c r="J77" i="1"/>
  <c r="I77" i="1"/>
  <c r="J76" i="1"/>
  <c r="I76" i="1"/>
  <c r="J75" i="1"/>
  <c r="I75" i="1"/>
  <c r="J74" i="1"/>
  <c r="I74" i="1"/>
  <c r="J73" i="1"/>
  <c r="I73" i="1"/>
  <c r="J72" i="1"/>
  <c r="I72" i="1"/>
  <c r="J71" i="1"/>
  <c r="I71" i="1"/>
  <c r="J70" i="1"/>
  <c r="I70" i="1"/>
  <c r="J69" i="1"/>
  <c r="I69" i="1"/>
  <c r="J68" i="1"/>
  <c r="I68" i="1"/>
  <c r="J67" i="1"/>
  <c r="I67" i="1"/>
  <c r="J66" i="1"/>
  <c r="I66" i="1"/>
  <c r="J65" i="1"/>
  <c r="I65" i="1"/>
  <c r="J64" i="1"/>
  <c r="I64" i="1"/>
  <c r="J63" i="1"/>
  <c r="I63" i="1"/>
  <c r="J62" i="1"/>
  <c r="I62" i="1"/>
  <c r="J61" i="1"/>
  <c r="I61" i="1"/>
  <c r="J60" i="1"/>
  <c r="I60" i="1"/>
  <c r="J59" i="1"/>
  <c r="I59" i="1"/>
  <c r="J58" i="1"/>
  <c r="I58" i="1"/>
  <c r="J57" i="1"/>
  <c r="I57" i="1"/>
  <c r="J56" i="1"/>
  <c r="I56" i="1"/>
  <c r="J55" i="1"/>
  <c r="I55" i="1"/>
  <c r="J54" i="1"/>
  <c r="I54" i="1"/>
  <c r="J53" i="1"/>
  <c r="I53" i="1"/>
  <c r="J52" i="1"/>
  <c r="I52" i="1"/>
  <c r="J51" i="1"/>
  <c r="I51" i="1"/>
  <c r="J50" i="1"/>
  <c r="I50" i="1"/>
  <c r="J49" i="1"/>
  <c r="I49" i="1"/>
  <c r="J48" i="1"/>
  <c r="I48" i="1"/>
  <c r="J47" i="1"/>
  <c r="I47" i="1"/>
  <c r="J46" i="1"/>
  <c r="I46" i="1"/>
  <c r="J45" i="1"/>
  <c r="I45" i="1"/>
  <c r="J44" i="1"/>
  <c r="I44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J31" i="1"/>
  <c r="I31" i="1"/>
  <c r="J30" i="1"/>
  <c r="I30" i="1"/>
  <c r="J29" i="1"/>
  <c r="I29" i="1"/>
  <c r="J28" i="1"/>
  <c r="I28" i="1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J3" i="1"/>
  <c r="I3" i="1"/>
  <c r="J2" i="1"/>
  <c r="I2" i="1"/>
  <c r="B2" i="3" l="1" a="1"/>
  <c r="B2" i="3" s="1"/>
  <c r="C2" i="3" a="1"/>
  <c r="C2" i="3" s="1"/>
  <c r="D2" i="3" a="1"/>
  <c r="D2" i="3" s="1"/>
  <c r="A2" i="3" a="1"/>
  <c r="A2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Joel Chan</author>
  </authors>
  <commentList>
    <comment ref="A1" authorId="0" shapeId="0" xr:uid="{2D23104C-325F-4703-9FDD-59CA77620180}">
      <text>
        <r>
          <rPr>
            <b/>
            <sz val="9"/>
            <color indexed="81"/>
            <rFont val="Tahoma"/>
            <charset val="1"/>
          </rPr>
          <t>Joel Chan:</t>
        </r>
        <r>
          <rPr>
            <sz val="9"/>
            <color indexed="81"/>
            <rFont val="Tahoma"/>
            <charset val="1"/>
          </rPr>
          <t xml:space="preserve">
No spaces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Joel Chan</author>
  </authors>
  <commentList>
    <comment ref="A1" authorId="0" shapeId="0" xr:uid="{028CE965-50FC-4D2F-A6E4-CEE4F5CC4F28}">
      <text>
        <r>
          <rPr>
            <b/>
            <sz val="9"/>
            <color indexed="81"/>
            <rFont val="Tahoma"/>
            <charset val="1"/>
          </rPr>
          <t>Joel Chan:</t>
        </r>
        <r>
          <rPr>
            <sz val="9"/>
            <color indexed="81"/>
            <rFont val="Tahoma"/>
            <charset val="1"/>
          </rPr>
          <t xml:space="preserve">
6 character limit</t>
        </r>
      </text>
    </comment>
    <comment ref="B1" authorId="0" shapeId="0" xr:uid="{EB71A839-96CF-4496-9A66-88886FC64B5B}">
      <text>
        <r>
          <rPr>
            <b/>
            <sz val="9"/>
            <color indexed="81"/>
            <rFont val="Tahoma"/>
            <charset val="1"/>
          </rPr>
          <t>Joel Chan:</t>
        </r>
        <r>
          <rPr>
            <sz val="9"/>
            <color indexed="81"/>
            <rFont val="Tahoma"/>
            <charset val="1"/>
          </rPr>
          <t xml:space="preserve">
Set to "USER WAYPOINT"</t>
        </r>
      </text>
    </comment>
    <comment ref="C1" authorId="0" shapeId="0" xr:uid="{8A74F7FF-FE7F-470E-B1B8-56A703BE8C6D}">
      <text>
        <r>
          <rPr>
            <b/>
            <sz val="9"/>
            <color indexed="81"/>
            <rFont val="Tahoma"/>
            <charset val="1"/>
          </rPr>
          <t>Joel Chan:</t>
        </r>
        <r>
          <rPr>
            <sz val="9"/>
            <color indexed="81"/>
            <rFont val="Tahoma"/>
            <charset val="1"/>
          </rPr>
          <t xml:space="preserve">
Blank for user waypoints</t>
        </r>
      </text>
    </comment>
    <comment ref="D1" authorId="0" shapeId="0" xr:uid="{CF11612B-9021-4CA2-ABD6-696D8483890C}">
      <text>
        <r>
          <rPr>
            <b/>
            <sz val="9"/>
            <color indexed="81"/>
            <rFont val="Tahoma"/>
            <charset val="1"/>
          </rPr>
          <t>Joel Chan:</t>
        </r>
        <r>
          <rPr>
            <sz val="9"/>
            <color indexed="81"/>
            <rFont val="Tahoma"/>
            <charset val="1"/>
          </rPr>
          <t xml:space="preserve">
25 character limit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Joel Chan</author>
  </authors>
  <commentList>
    <comment ref="D1" authorId="0" shapeId="0" xr:uid="{DE6D0521-45AD-4708-B9EE-6CB3FF76161D}">
      <text>
        <r>
          <rPr>
            <b/>
            <sz val="9"/>
            <color indexed="81"/>
            <rFont val="Tahoma"/>
            <family val="2"/>
          </rPr>
          <t>Joel Chan:</t>
        </r>
        <r>
          <rPr>
            <sz val="9"/>
            <color indexed="81"/>
            <rFont val="Tahoma"/>
            <family val="2"/>
          </rPr>
          <t xml:space="preserve">
Change to uppercase and underscores</t>
        </r>
      </text>
    </comment>
    <comment ref="E1" authorId="0" shapeId="0" xr:uid="{373BFE8A-F3F4-40DE-86E8-854110359683}">
      <text>
        <r>
          <rPr>
            <b/>
            <sz val="9"/>
            <color indexed="81"/>
            <rFont val="Tahoma"/>
            <family val="2"/>
          </rPr>
          <t>Joel Chan:</t>
        </r>
        <r>
          <rPr>
            <sz val="9"/>
            <color indexed="81"/>
            <rFont val="Tahoma"/>
            <family val="2"/>
          </rPr>
          <t xml:space="preserve">
Use common abbreviations
</t>
        </r>
      </text>
    </comment>
    <comment ref="F1" authorId="0" shapeId="0" xr:uid="{7156C7AF-56A0-4420-85E2-D7282FEBDD16}">
      <text>
        <r>
          <rPr>
            <b/>
            <sz val="9"/>
            <color indexed="81"/>
            <rFont val="Tahoma"/>
            <family val="2"/>
          </rPr>
          <t>Joel Chan:</t>
        </r>
        <r>
          <rPr>
            <sz val="9"/>
            <color indexed="81"/>
            <rFont val="Tahoma"/>
            <family val="2"/>
          </rPr>
          <t xml:space="preserve">
Six character name for G1000</t>
        </r>
      </text>
    </comment>
    <comment ref="H1" authorId="0" shapeId="0" xr:uid="{4555EAEE-CCF5-4DE6-B574-15010A23F1AE}">
      <text>
        <r>
          <rPr>
            <b/>
            <sz val="9"/>
            <color indexed="81"/>
            <rFont val="Tahoma"/>
            <family val="2"/>
          </rPr>
          <t>Joel Chan:</t>
        </r>
        <r>
          <rPr>
            <sz val="9"/>
            <color indexed="81"/>
            <rFont val="Tahoma"/>
            <family val="2"/>
          </rPr>
          <t xml:space="preserve">
Truncated to 25 characters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<sst xmlns="http://schemas.openxmlformats.org/spreadsheetml/2006/main" count="602" uniqueCount="400">
  <si>
    <t>Sungai Besar</t>
  </si>
  <si>
    <t>Sungai Besar Stadium</t>
  </si>
  <si>
    <t>Kuala Selangor</t>
  </si>
  <si>
    <t>Kuala Selangor Bridge</t>
  </si>
  <si>
    <t>Kapar</t>
  </si>
  <si>
    <t>Kapar Junction</t>
  </si>
  <si>
    <t>Port Klang</t>
  </si>
  <si>
    <t>Pulau Indah Bridge</t>
  </si>
  <si>
    <t>Morib</t>
  </si>
  <si>
    <t>Golf Course</t>
  </si>
  <si>
    <t>Tanjung Sepat</t>
  </si>
  <si>
    <t>Jetty Tanjung Sepat</t>
  </si>
  <si>
    <t>Tanjung Tuan (Cape Rachardo)</t>
  </si>
  <si>
    <t>Lighthouse</t>
  </si>
  <si>
    <t>Slim River</t>
  </si>
  <si>
    <t>Slim River Hospital</t>
  </si>
  <si>
    <t>Tanjung Malim</t>
  </si>
  <si>
    <t>Universiti Perguruan Sultan Idris (UPSI)</t>
  </si>
  <si>
    <t>Rawang</t>
  </si>
  <si>
    <t>Lafarge plant</t>
  </si>
  <si>
    <t>Batu Caves</t>
  </si>
  <si>
    <t>Hindu Temple</t>
  </si>
  <si>
    <t>Sungai Besi</t>
  </si>
  <si>
    <t>Smart Toll Plaza</t>
  </si>
  <si>
    <t>Kajang</t>
  </si>
  <si>
    <t>Stadium</t>
  </si>
  <si>
    <t>Seremban</t>
  </si>
  <si>
    <t>Seremban Mosque</t>
  </si>
  <si>
    <t>Bentong</t>
  </si>
  <si>
    <t>Dataran Bentong</t>
  </si>
  <si>
    <t>Rantau</t>
  </si>
  <si>
    <t>TNB Substation</t>
  </si>
  <si>
    <t>Kuala Kelawang</t>
  </si>
  <si>
    <t>Jelebu District Council</t>
  </si>
  <si>
    <t>Petaling Jaya</t>
  </si>
  <si>
    <t>Menara TM</t>
  </si>
  <si>
    <t>Bukit Lanjan</t>
  </si>
  <si>
    <t>Tol Sungai Penchala</t>
  </si>
  <si>
    <t>Puncak Perdana</t>
  </si>
  <si>
    <t>Puncak Perdana Interchange</t>
  </si>
  <si>
    <t>Shah Alam</t>
  </si>
  <si>
    <t>Sultan Salahudin Abdul Aziz Mosque</t>
  </si>
  <si>
    <t>Kuang</t>
  </si>
  <si>
    <t>Guthrie – LATAR Expressway Kuang Exit</t>
  </si>
  <si>
    <t>Nibong Gila</t>
  </si>
  <si>
    <t>Met Weather Radar</t>
  </si>
  <si>
    <t>Titiwangsa</t>
  </si>
  <si>
    <t>Titiwangsa Lake</t>
  </si>
  <si>
    <t>Segambut</t>
  </si>
  <si>
    <t>DUKE Jalan Kuching Interchange</t>
  </si>
  <si>
    <t>UTM Mosque</t>
  </si>
  <si>
    <t>013333N 1033815E</t>
  </si>
  <si>
    <t>Benut</t>
  </si>
  <si>
    <t>013839N 1031534E</t>
  </si>
  <si>
    <t>Kulai Tol Plaza</t>
  </si>
  <si>
    <t>013900N 1033318E</t>
  </si>
  <si>
    <t>East of Johor Bahru Airfield</t>
  </si>
  <si>
    <t>014005N 1034259E</t>
  </si>
  <si>
    <t>Kota Tinggi Bridge</t>
  </si>
  <si>
    <t>014344N 1035406E</t>
  </si>
  <si>
    <t>013500N 1035500E</t>
  </si>
  <si>
    <t>East of Johor Bahru Town</t>
  </si>
  <si>
    <t>013014N 1035154E</t>
  </si>
  <si>
    <t>Felda Ulu Tebrau</t>
  </si>
  <si>
    <t>013751N 1034510E</t>
  </si>
  <si>
    <t>Tebrau City Mall</t>
  </si>
  <si>
    <t>013259N 1034748E</t>
  </si>
  <si>
    <t>014430N 1034700E</t>
  </si>
  <si>
    <t>015536N 1040658E</t>
  </si>
  <si>
    <t>014940N 1031834E</t>
  </si>
  <si>
    <t>Air Hitam</t>
  </si>
  <si>
    <t>015552N 1031033E</t>
  </si>
  <si>
    <t>Yong Peng</t>
  </si>
  <si>
    <t>020102N 1030347E</t>
  </si>
  <si>
    <t>012830N 1034954E</t>
  </si>
  <si>
    <t>Tass Andrassy</t>
  </si>
  <si>
    <t>Old Airport</t>
  </si>
  <si>
    <t>Sebatik Island</t>
  </si>
  <si>
    <t>Kalabakan</t>
  </si>
  <si>
    <t>Balung</t>
  </si>
  <si>
    <t>Kawa Hill</t>
  </si>
  <si>
    <t>Baturong</t>
  </si>
  <si>
    <t>Danum</t>
  </si>
  <si>
    <t>Junction (49KM)</t>
  </si>
  <si>
    <t>Saddle Hill</t>
  </si>
  <si>
    <t>Nagos</t>
  </si>
  <si>
    <t>Semporna</t>
  </si>
  <si>
    <t>Gaya Island</t>
  </si>
  <si>
    <t>Sipadan Island</t>
  </si>
  <si>
    <t>041917N 1180117E</t>
  </si>
  <si>
    <t>041601N 1175312E</t>
  </si>
  <si>
    <t>041323N 1174650E</t>
  </si>
  <si>
    <t>042356N 1172942E</t>
  </si>
  <si>
    <t>042152N 1180740E</t>
  </si>
  <si>
    <t>042338N 1180513E</t>
  </si>
  <si>
    <t>042824N 1180409E</t>
  </si>
  <si>
    <t>044158N 1180009E</t>
  </si>
  <si>
    <t>045107N 1174711E</t>
  </si>
  <si>
    <t>042536N 1181042E</t>
  </si>
  <si>
    <t>043613N 1181123E</t>
  </si>
  <si>
    <t>045019N 1181004E</t>
  </si>
  <si>
    <t>041756N 1181108E</t>
  </si>
  <si>
    <t>042052N 1182335E</t>
  </si>
  <si>
    <t>042659N 1183547E</t>
  </si>
  <si>
    <t>043720N 1184425E</t>
  </si>
  <si>
    <t>040826N 1183838E</t>
  </si>
  <si>
    <t>Bandar Indah (Road Junction)</t>
  </si>
  <si>
    <t>Kampong Tobanka</t>
  </si>
  <si>
    <t>Bai Island</t>
  </si>
  <si>
    <t>Tanjung Bidadari</t>
  </si>
  <si>
    <t>Kuala Kinabatangan Besar</t>
  </si>
  <si>
    <t>Kampung Bilit</t>
  </si>
  <si>
    <t>Sungai Seguntor</t>
  </si>
  <si>
    <t>Kota Kinabatangan</t>
  </si>
  <si>
    <t>Kampung Kuala Lokan</t>
  </si>
  <si>
    <t>Telupid</t>
  </si>
  <si>
    <t>Kampung Semawang</t>
  </si>
  <si>
    <t>Beluran</t>
  </si>
  <si>
    <t>Kenawi Island</t>
  </si>
  <si>
    <t>Kampung Sungai-Sungai</t>
  </si>
  <si>
    <t>Kampung Terusan</t>
  </si>
  <si>
    <t>Selingan Island</t>
  </si>
  <si>
    <t>Lankayan Island</t>
  </si>
  <si>
    <t>South of Berhala Island</t>
  </si>
  <si>
    <t>Luang Manis</t>
  </si>
  <si>
    <t>Pamaguan Primary School</t>
  </si>
  <si>
    <t>055121N 1180420E</t>
  </si>
  <si>
    <t>060109N 1180222E</t>
  </si>
  <si>
    <t>054631N 1180601E</t>
  </si>
  <si>
    <t>054928N 1182057E</t>
  </si>
  <si>
    <t>053834N 1183645E</t>
  </si>
  <si>
    <t>052951N 1181229E</t>
  </si>
  <si>
    <t>054824N 1175937E</t>
  </si>
  <si>
    <t>053520N 1175042E</t>
  </si>
  <si>
    <t>052613N 1174455E</t>
  </si>
  <si>
    <t>054528N 1174531E</t>
  </si>
  <si>
    <t>053739N 1170750E</t>
  </si>
  <si>
    <t>055810N 1175435E</t>
  </si>
  <si>
    <t>055511N 1174544E</t>
  </si>
  <si>
    <t>055342N 1173325E</t>
  </si>
  <si>
    <t>055918N 1174207E</t>
  </si>
  <si>
    <t>062533N 1174114E</t>
  </si>
  <si>
    <t>061027N 1180338E</t>
  </si>
  <si>
    <t>063000N 1175500E</t>
  </si>
  <si>
    <t>055151N 1180854E</t>
  </si>
  <si>
    <t>054000N 1173918E</t>
  </si>
  <si>
    <t>055727N 1180352E</t>
  </si>
  <si>
    <t>Port Weld</t>
  </si>
  <si>
    <t>Tanjung Piandang</t>
  </si>
  <si>
    <t>South of Pulau Aman</t>
  </si>
  <si>
    <t>Kedah Peak West</t>
  </si>
  <si>
    <t>Kuala Sungai Muda</t>
  </si>
  <si>
    <t>North of George Town</t>
  </si>
  <si>
    <t>West of Pulau Gaya</t>
  </si>
  <si>
    <t>060300N 1160000E</t>
  </si>
  <si>
    <t>Pulau Sulug</t>
  </si>
  <si>
    <t>055740N 1155930E</t>
  </si>
  <si>
    <t>Pulau Tiga</t>
  </si>
  <si>
    <t>054500N 1153930E</t>
  </si>
  <si>
    <t>Kuala Penyu</t>
  </si>
  <si>
    <t>053400N 1153600E</t>
  </si>
  <si>
    <t>Bongawan</t>
  </si>
  <si>
    <t>053220N 1155128E</t>
  </si>
  <si>
    <t>East of Papar</t>
  </si>
  <si>
    <t>054200N 1160100E</t>
  </si>
  <si>
    <t>East of Kawang</t>
  </si>
  <si>
    <t>054600N 1160300E</t>
  </si>
  <si>
    <t>East of Kinarut Town</t>
  </si>
  <si>
    <t>054906N 1160419E</t>
  </si>
  <si>
    <t>Kepayan</t>
  </si>
  <si>
    <t>055533N 1160330E</t>
  </si>
  <si>
    <t>East of Inanam Town</t>
  </si>
  <si>
    <t>055944N 1160905E</t>
  </si>
  <si>
    <t>East of Telipok</t>
  </si>
  <si>
    <t>060630N 1161230E</t>
  </si>
  <si>
    <t>Kampung Kiulu</t>
  </si>
  <si>
    <t>060342N 1161659E</t>
  </si>
  <si>
    <t>Kampung Balabakan</t>
  </si>
  <si>
    <t>060130N 1162714E</t>
  </si>
  <si>
    <t>Ranau</t>
  </si>
  <si>
    <t>055730N 1164030E</t>
  </si>
  <si>
    <t>West of Hill 1040</t>
  </si>
  <si>
    <t>060635N 1160437E</t>
  </si>
  <si>
    <t>Tanjung Dalit</t>
  </si>
  <si>
    <t>060936N 1160830E</t>
  </si>
  <si>
    <t>Kota Belud</t>
  </si>
  <si>
    <t>062048N 1162352E</t>
  </si>
  <si>
    <t>045017N 1003733E</t>
  </si>
  <si>
    <t>050517N 1002138E</t>
  </si>
  <si>
    <t>051531N 1002303E</t>
  </si>
  <si>
    <t>054437N 1002125E</t>
  </si>
  <si>
    <t>053439N 1002009E</t>
  </si>
  <si>
    <t>052753N 1001826E</t>
  </si>
  <si>
    <t>034028N 1005912E</t>
  </si>
  <si>
    <t>032026N 1011509E</t>
  </si>
  <si>
    <t>030810N 1012233E</t>
  </si>
  <si>
    <t>030156N 1012140E</t>
  </si>
  <si>
    <t>024436N 1012647E</t>
  </si>
  <si>
    <t>023933N 1013322E</t>
  </si>
  <si>
    <t>022425N 1015107E</t>
  </si>
  <si>
    <t>035014N 1012415E</t>
  </si>
  <si>
    <t>034106N 1013126E</t>
  </si>
  <si>
    <t>031833N 1013416E</t>
  </si>
  <si>
    <t>031415N 1014102E</t>
  </si>
  <si>
    <t>030632N 1014208E</t>
  </si>
  <si>
    <t>025940N 1014713E</t>
  </si>
  <si>
    <t>024319N 1015632E</t>
  </si>
  <si>
    <t>033145N 1015417E</t>
  </si>
  <si>
    <t>023541N 1015743E</t>
  </si>
  <si>
    <t>025627N 1020410E</t>
  </si>
  <si>
    <t>030657N 1013956E</t>
  </si>
  <si>
    <t>031039N 1013710E</t>
  </si>
  <si>
    <t>030804N 1012946E</t>
  </si>
  <si>
    <t>030444N 1013114E</t>
  </si>
  <si>
    <t>031610N 1013245E</t>
  </si>
  <si>
    <t>030841N 1013331E</t>
  </si>
  <si>
    <t>031039N 1014216E</t>
  </si>
  <si>
    <t>031131N 1014008E</t>
  </si>
  <si>
    <t>Lat</t>
  </si>
  <si>
    <t>Lon</t>
  </si>
  <si>
    <t>Waypoint Name</t>
  </si>
  <si>
    <t>Simpang Renggam Town</t>
  </si>
  <si>
    <t>061503N 1172104E</t>
  </si>
  <si>
    <t>Description</t>
  </si>
  <si>
    <t>Terendak</t>
  </si>
  <si>
    <t>021732N 1020528E</t>
  </si>
  <si>
    <t>Rembia</t>
  </si>
  <si>
    <t>021656N 1021254E</t>
  </si>
  <si>
    <t>Tampin</t>
  </si>
  <si>
    <t>022814N 1021348E</t>
  </si>
  <si>
    <t>Chin Chin</t>
  </si>
  <si>
    <t>021724N 1022840E</t>
  </si>
  <si>
    <t>Bt Beruang</t>
  </si>
  <si>
    <t>021432N 1021817E</t>
  </si>
  <si>
    <t>Umbai</t>
  </si>
  <si>
    <t>020920N 1022040E</t>
  </si>
  <si>
    <t>Malacca City</t>
  </si>
  <si>
    <t>021200N 1021500E</t>
  </si>
  <si>
    <t>Muar</t>
  </si>
  <si>
    <t>020342N 1023354E</t>
  </si>
  <si>
    <t>Tangkak</t>
  </si>
  <si>
    <t>021620N 1023240E</t>
  </si>
  <si>
    <t>Pagoh</t>
  </si>
  <si>
    <t>020900N 1024612E</t>
  </si>
  <si>
    <t>Waypoint Description</t>
  </si>
  <si>
    <t>Waypoint Coordinates</t>
  </si>
  <si>
    <t>Text</t>
  </si>
  <si>
    <t>Abbreviations</t>
  </si>
  <si>
    <t>SG</t>
  </si>
  <si>
    <t>TANJUNG</t>
  </si>
  <si>
    <t>TJ</t>
  </si>
  <si>
    <t>BUKIT</t>
  </si>
  <si>
    <t>BT</t>
  </si>
  <si>
    <t>Kampung Sedili Besar</t>
  </si>
  <si>
    <t>Point XRay</t>
  </si>
  <si>
    <t>Kampung Aman</t>
  </si>
  <si>
    <t>Tanjung Batai</t>
  </si>
  <si>
    <t>Mile 32 Rd Junction</t>
  </si>
  <si>
    <t>WEST_OF</t>
  </si>
  <si>
    <t>WEST</t>
  </si>
  <si>
    <t>EAST_OF</t>
  </si>
  <si>
    <t>EAST</t>
  </si>
  <si>
    <t>SOUTH_OF</t>
  </si>
  <si>
    <t>SOUTH</t>
  </si>
  <si>
    <t>NORTH_OF</t>
  </si>
  <si>
    <t>NORTH</t>
  </si>
  <si>
    <t>ISLAND</t>
  </si>
  <si>
    <t>IS</t>
  </si>
  <si>
    <t>Abbreviated Name</t>
  </si>
  <si>
    <t>SUNGAI</t>
  </si>
  <si>
    <t>East of Kg Sg Tiram</t>
  </si>
  <si>
    <t>South Of Kg Semangar</t>
  </si>
  <si>
    <t>KAMPUNG</t>
  </si>
  <si>
    <t>KG</t>
  </si>
  <si>
    <t>Mt Pyramid</t>
  </si>
  <si>
    <t>Kampung GumGum Laut</t>
  </si>
  <si>
    <t>identifier</t>
  </si>
  <si>
    <t>type</t>
  </si>
  <si>
    <t>USER WAYPOINT</t>
  </si>
  <si>
    <t>country-code</t>
  </si>
  <si>
    <t>comment</t>
  </si>
  <si>
    <t>lat</t>
  </si>
  <si>
    <t>lon</t>
  </si>
  <si>
    <t>UPPERCASE_NAME</t>
  </si>
  <si>
    <t>G1000 Name</t>
  </si>
  <si>
    <t>ETIRAM</t>
  </si>
  <si>
    <t>SDLBSR</t>
  </si>
  <si>
    <t>EASTJB</t>
  </si>
  <si>
    <t>KULAI</t>
  </si>
  <si>
    <t>FELDA</t>
  </si>
  <si>
    <t>EJBAIR</t>
  </si>
  <si>
    <t>KOTATG</t>
  </si>
  <si>
    <t>TEBMAL</t>
  </si>
  <si>
    <t>PTXRAY</t>
  </si>
  <si>
    <t>YONGPG</t>
  </si>
  <si>
    <t>AIRHTM</t>
  </si>
  <si>
    <t>SPGRNG</t>
  </si>
  <si>
    <t>SKGSEM</t>
  </si>
  <si>
    <t>BENUT</t>
  </si>
  <si>
    <t>UTMMSQ</t>
  </si>
  <si>
    <t>MALCTY</t>
  </si>
  <si>
    <t>MUAR</t>
  </si>
  <si>
    <t>TANKAK</t>
  </si>
  <si>
    <t>UMBAI</t>
  </si>
  <si>
    <t>PAGOH</t>
  </si>
  <si>
    <t>BTBERU</t>
  </si>
  <si>
    <t>CHNCHN</t>
  </si>
  <si>
    <t>TAMPIN</t>
  </si>
  <si>
    <t>REMBIA</t>
  </si>
  <si>
    <t>TRNDAK</t>
  </si>
  <si>
    <t>PLSULG</t>
  </si>
  <si>
    <t>PLTIGA</t>
  </si>
  <si>
    <t>PLGAYA</t>
  </si>
  <si>
    <t>GRGTWN</t>
  </si>
  <si>
    <t>KLMUDA</t>
  </si>
  <si>
    <t>KDHPKW</t>
  </si>
  <si>
    <t>TJPDNG</t>
  </si>
  <si>
    <t>PRTWLD</t>
  </si>
  <si>
    <t>PULAU</t>
  </si>
  <si>
    <t>P</t>
  </si>
  <si>
    <t>PAMAN</t>
  </si>
  <si>
    <t>Short Description</t>
  </si>
  <si>
    <t>KAPAR</t>
  </si>
  <si>
    <t>MORIB</t>
  </si>
  <si>
    <t>RAWANG</t>
  </si>
  <si>
    <t>KAJANG</t>
  </si>
  <si>
    <t>RANTAU</t>
  </si>
  <si>
    <t>KUANG</t>
  </si>
  <si>
    <t>BALUNG</t>
  </si>
  <si>
    <t>DANUM</t>
  </si>
  <si>
    <t>NAGOS</t>
  </si>
  <si>
    <t>RANAU</t>
  </si>
  <si>
    <t>SGBESR</t>
  </si>
  <si>
    <t>KLSELA</t>
  </si>
  <si>
    <t>PTKLNG</t>
  </si>
  <si>
    <t>TJSEPT</t>
  </si>
  <si>
    <t>TJTUAN</t>
  </si>
  <si>
    <t>SLMRVR</t>
  </si>
  <si>
    <t>TJMALM</t>
  </si>
  <si>
    <t>BATUCV</t>
  </si>
  <si>
    <t>SGBESI</t>
  </si>
  <si>
    <t>SERMBN</t>
  </si>
  <si>
    <t>BENTNG</t>
  </si>
  <si>
    <t>KLKLWG</t>
  </si>
  <si>
    <t>PETJYA</t>
  </si>
  <si>
    <t>BTLNJN</t>
  </si>
  <si>
    <t>PCKPRD</t>
  </si>
  <si>
    <t>NBGILA</t>
  </si>
  <si>
    <t>TITWGS</t>
  </si>
  <si>
    <t>SGMBUT</t>
  </si>
  <si>
    <t>TASSAN</t>
  </si>
  <si>
    <t>OLDAIR</t>
  </si>
  <si>
    <t>SBTKIS</t>
  </si>
  <si>
    <t>KLBKN</t>
  </si>
  <si>
    <t>KWAHLL</t>
  </si>
  <si>
    <t>MTPYRM</t>
  </si>
  <si>
    <t>BTRNG</t>
  </si>
  <si>
    <t>JCT49K</t>
  </si>
  <si>
    <t>KGAMAN</t>
  </si>
  <si>
    <t>TJBATI</t>
  </si>
  <si>
    <t>SDLHLL</t>
  </si>
  <si>
    <t>SMPRNA</t>
  </si>
  <si>
    <t>GAYAIS</t>
  </si>
  <si>
    <t>SPDNIS</t>
  </si>
  <si>
    <t>BNDIND</t>
  </si>
  <si>
    <t>KPTBNK</t>
  </si>
  <si>
    <t>TJBDR</t>
  </si>
  <si>
    <t>KLKNBB</t>
  </si>
  <si>
    <t>KGBILT</t>
  </si>
  <si>
    <t>SGSEG</t>
  </si>
  <si>
    <t>KTKNB</t>
  </si>
  <si>
    <t>KGKLLK</t>
  </si>
  <si>
    <t>TELPID</t>
  </si>
  <si>
    <t>KGGMGL</t>
  </si>
  <si>
    <t>KGSMWG</t>
  </si>
  <si>
    <t>BLURAN</t>
  </si>
  <si>
    <t>KNWIIS</t>
  </si>
  <si>
    <t>KGSGSG</t>
  </si>
  <si>
    <t>KGTRSN</t>
  </si>
  <si>
    <t>SLNGIS</t>
  </si>
  <si>
    <t>LNKYIS</t>
  </si>
  <si>
    <t>SBRHIS</t>
  </si>
  <si>
    <t>LNGMNS</t>
  </si>
  <si>
    <t>KLPNYU</t>
  </si>
  <si>
    <t>BNGWN</t>
  </si>
  <si>
    <t>EPAPAR</t>
  </si>
  <si>
    <t>EKAWNG</t>
  </si>
  <si>
    <t>EKNRTT</t>
  </si>
  <si>
    <t>KPYAN</t>
  </si>
  <si>
    <t>EINMNT</t>
  </si>
  <si>
    <t>ETLPOK</t>
  </si>
  <si>
    <t>KGKULU</t>
  </si>
  <si>
    <t>KGBLBK</t>
  </si>
  <si>
    <t>WH1040</t>
  </si>
  <si>
    <t>TJDLT</t>
  </si>
  <si>
    <t>KTBLUD</t>
  </si>
  <si>
    <t>PMGSCH</t>
  </si>
  <si>
    <t>SHALAM</t>
  </si>
  <si>
    <t>BAIIS</t>
  </si>
  <si>
    <t>ML32JT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</si>
</sst>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1" fillId="3" borderId="0" xfId="0" applyFont="1" applyFill="1"/>
    <xf numFmtId="0" fontId="1" fillId="4" borderId="0" xfId="0" applyFont="1" applyFill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1890A-B29D-4106-8E75-E1D74FD2710F}">
  <dimension ref="A1:D113"/>
  <sheetViews>
    <sheetView workbookViewId="0">
      <selection activeCell="A2" sqref="A2"/>
    </sheetView>
  </sheetViews>
  <sheetFormatPr defaultRowHeight="15" x14ac:dyDescent="0.25"/>
  <cols>
    <col min="1" max="1" width="34.28515625" bestFit="1" customWidth="1"/>
    <col min="2" max="2" width="36.28515625" bestFit="1" customWidth="1"/>
    <col min="3" max="3" width="9.28515625" bestFit="1" customWidth="1"/>
    <col min="4" max="4" width="9.5703125" bestFit="1" customWidth="1"/>
  </cols>
  <sheetData>
    <row r="1" spans="1:4" x14ac:dyDescent="0.25">
      <c r="A1" s="1" t="s">
        <v>220</v>
      </c>
      <c r="B1" s="1" t="s">
        <v>223</v>
      </c>
      <c r="C1" s="1" t="s">
        <v>218</v>
      </c>
      <c r="D1" s="1" t="s">
        <v>219</v>
      </c>
    </row>
    <row r="2" spans="1:4" x14ac:dyDescent="0.25">
      <c r="A2" t="str" cm="1">
        <f t="array" ref="A2:A113">_xlfn.XLOOKUP('Source Data'!E1,'Source Data'!$E$1:$J$1,'Source Data'!$E$2:$J$113)</f>
        <v>SG_BESAR</v>
      </c>
      <c r="B2" t="str" cm="1">
        <f t="array" ref="B2:B113">_xlfn.XLOOKUP('Source Data'!G1,'Source Data'!$E$1:$J$1,'Source Data'!$E$2:$J$113)</f>
        <v>Sungai Besar Stadium</v>
      </c>
      <c r="C2" s="2" cm="1">
        <f t="array" ref="C2:C113">_xlfn.XLOOKUP('Source Data'!I1,'Source Data'!$E$1:$J$1,'Source Data'!$E$2:$J$113)</f>
        <v>3.6744444444444442</v>
      </c>
      <c r="D2" s="2" cm="1">
        <f t="array" ref="D2:D113">_xlfn.XLOOKUP('Source Data'!J1,'Source Data'!$E$1:$J$1,'Source Data'!$E$2:$J$113)</f>
        <v>100.98666666666666</v>
      </c>
    </row>
    <row r="3" spans="1:4" x14ac:dyDescent="0.25">
      <c r="A3" t="str">
        <v>KUALA_SELANGOR</v>
      </c>
      <c r="B3" t="str">
        <v>Kuala Selangor Bridge</v>
      </c>
      <c r="C3" s="2">
        <v>3.3405555555555555</v>
      </c>
      <c r="D3" s="2">
        <v>101.2525</v>
      </c>
    </row>
    <row r="4" spans="1:4" x14ac:dyDescent="0.25">
      <c r="A4" t="str">
        <v>KAPAR</v>
      </c>
      <c r="B4" t="str">
        <v>Kapar Junction</v>
      </c>
      <c r="C4" s="2">
        <v>3.1361111111111111</v>
      </c>
      <c r="D4" s="2">
        <v>101.37583333333333</v>
      </c>
    </row>
    <row r="5" spans="1:4" x14ac:dyDescent="0.25">
      <c r="A5" t="str">
        <v>PORT_KLANG</v>
      </c>
      <c r="B5" t="str">
        <v>Pulau Indah Bridge</v>
      </c>
      <c r="C5" s="2">
        <v>3.0322222222222224</v>
      </c>
      <c r="D5" s="2">
        <v>101.3611111111111</v>
      </c>
    </row>
    <row r="6" spans="1:4" x14ac:dyDescent="0.25">
      <c r="A6" t="str">
        <v>MORIB</v>
      </c>
      <c r="B6" t="str">
        <v>Golf Course</v>
      </c>
      <c r="C6" s="2">
        <v>2.7433333333333332</v>
      </c>
      <c r="D6" s="2">
        <v>101.44638888888889</v>
      </c>
    </row>
    <row r="7" spans="1:4" x14ac:dyDescent="0.25">
      <c r="A7" t="str">
        <v>TJ_SEPAT</v>
      </c>
      <c r="B7" t="str">
        <v>Jetty Tanjung Sepat</v>
      </c>
      <c r="C7" s="2">
        <v>2.6591666666666667</v>
      </c>
      <c r="D7" s="2">
        <v>101.55611111111111</v>
      </c>
    </row>
    <row r="8" spans="1:4" x14ac:dyDescent="0.25">
      <c r="A8" t="str">
        <v>TJ_TUAN_(CAPE_RACHARDO)</v>
      </c>
      <c r="B8" t="str">
        <v>Lighthouse</v>
      </c>
      <c r="C8" s="2">
        <v>2.4069444444444446</v>
      </c>
      <c r="D8" s="2">
        <v>101.85194444444444</v>
      </c>
    </row>
    <row r="9" spans="1:4" x14ac:dyDescent="0.25">
      <c r="A9" t="str">
        <v>SLIM_RIVER</v>
      </c>
      <c r="B9" t="str">
        <v>Slim River Hospital</v>
      </c>
      <c r="C9" s="2">
        <v>3.8372222222222225</v>
      </c>
      <c r="D9" s="2">
        <v>101.40416666666667</v>
      </c>
    </row>
    <row r="10" spans="1:4" x14ac:dyDescent="0.25">
      <c r="A10" t="str">
        <v>TJ_MALIM</v>
      </c>
      <c r="B10" t="str">
        <v>Universiti Perguruan Sultan Idris (UPSI)</v>
      </c>
      <c r="C10" s="2">
        <v>3.6850000000000001</v>
      </c>
      <c r="D10" s="2">
        <v>101.52388888888889</v>
      </c>
    </row>
    <row r="11" spans="1:4" x14ac:dyDescent="0.25">
      <c r="A11" t="str">
        <v>RAWANG</v>
      </c>
      <c r="B11" t="str">
        <v>Lafarge plant</v>
      </c>
      <c r="C11" s="2">
        <v>3.3091666666666666</v>
      </c>
      <c r="D11" s="2">
        <v>101.57111111111111</v>
      </c>
    </row>
    <row r="12" spans="1:4" x14ac:dyDescent="0.25">
      <c r="A12" t="str">
        <v>BATU_CAVES</v>
      </c>
      <c r="B12" t="str">
        <v>Hindu Temple</v>
      </c>
      <c r="C12" s="2">
        <v>3.2375000000000003</v>
      </c>
      <c r="D12" s="2">
        <v>101.68388888888889</v>
      </c>
    </row>
    <row r="13" spans="1:4" x14ac:dyDescent="0.25">
      <c r="A13" t="str">
        <v>SG_BESI</v>
      </c>
      <c r="B13" t="str">
        <v>Smart Toll Plaza</v>
      </c>
      <c r="C13" s="2">
        <v>3.108888888888889</v>
      </c>
      <c r="D13" s="2">
        <v>101.70222222222222</v>
      </c>
    </row>
    <row r="14" spans="1:4" x14ac:dyDescent="0.25">
      <c r="A14" t="str">
        <v>KAJANG</v>
      </c>
      <c r="B14" t="str">
        <v>Stadium</v>
      </c>
      <c r="C14" s="2">
        <v>2.9944444444444445</v>
      </c>
      <c r="D14" s="2">
        <v>101.78694444444444</v>
      </c>
    </row>
    <row r="15" spans="1:4" x14ac:dyDescent="0.25">
      <c r="A15" t="str">
        <v>SEREMBAN</v>
      </c>
      <c r="B15" t="str">
        <v>Seremban Mosque</v>
      </c>
      <c r="C15" s="2">
        <v>2.7219444444444445</v>
      </c>
      <c r="D15" s="2">
        <v>101.94222222222223</v>
      </c>
    </row>
    <row r="16" spans="1:4" x14ac:dyDescent="0.25">
      <c r="A16" t="str">
        <v>BENTONG</v>
      </c>
      <c r="B16" t="str">
        <v>Dataran Bentong</v>
      </c>
      <c r="C16" s="2">
        <v>3.5291666666666668</v>
      </c>
      <c r="D16" s="2">
        <v>101.90472222222223</v>
      </c>
    </row>
    <row r="17" spans="1:4" x14ac:dyDescent="0.25">
      <c r="A17" t="str">
        <v>RANTAU</v>
      </c>
      <c r="B17" t="str">
        <v>TNB Substation</v>
      </c>
      <c r="C17" s="2">
        <v>2.5947222222222224</v>
      </c>
      <c r="D17" s="2">
        <v>101.96194444444444</v>
      </c>
    </row>
    <row r="18" spans="1:4" x14ac:dyDescent="0.25">
      <c r="A18" t="str">
        <v>KUALA_KELAWANG</v>
      </c>
      <c r="B18" t="str">
        <v>Jelebu District Council</v>
      </c>
      <c r="C18" s="2">
        <v>2.9408333333333334</v>
      </c>
      <c r="D18" s="2">
        <v>102.06944444444444</v>
      </c>
    </row>
    <row r="19" spans="1:4" x14ac:dyDescent="0.25">
      <c r="A19" t="str">
        <v>PETALING_JAYA</v>
      </c>
      <c r="B19" t="str">
        <v>Menara TM</v>
      </c>
      <c r="C19" s="2">
        <v>3.1158333333333332</v>
      </c>
      <c r="D19" s="2">
        <v>101.66555555555556</v>
      </c>
    </row>
    <row r="20" spans="1:4" x14ac:dyDescent="0.25">
      <c r="A20" t="str">
        <v>BT_LANJAN</v>
      </c>
      <c r="B20" t="str">
        <v>Tol Sungai Penchala</v>
      </c>
      <c r="C20" s="2">
        <v>3.1774999999999998</v>
      </c>
      <c r="D20" s="2">
        <v>101.61944444444444</v>
      </c>
    </row>
    <row r="21" spans="1:4" x14ac:dyDescent="0.25">
      <c r="A21" t="str">
        <v>PUNCAK_PERDANA</v>
      </c>
      <c r="B21" t="str">
        <v>Puncak Perdana Interchange</v>
      </c>
      <c r="C21" s="2">
        <v>3.1344444444444446</v>
      </c>
      <c r="D21" s="2">
        <v>101.49611111111111</v>
      </c>
    </row>
    <row r="22" spans="1:4" x14ac:dyDescent="0.25">
      <c r="A22" t="str">
        <v>SHAH_ALAM</v>
      </c>
      <c r="B22" t="str">
        <v>Sultan Salahudin Abdul Aziz Mosque</v>
      </c>
      <c r="C22" s="2">
        <v>3.0788888888888892</v>
      </c>
      <c r="D22" s="2">
        <v>101.52055555555556</v>
      </c>
    </row>
    <row r="23" spans="1:4" x14ac:dyDescent="0.25">
      <c r="A23" t="str">
        <v>KUANG</v>
      </c>
      <c r="B23" t="str">
        <v>Guthrie – LATAR Expressway Kuang Exit</v>
      </c>
      <c r="C23" s="2">
        <v>3.2694444444444444</v>
      </c>
      <c r="D23" s="2">
        <v>101.54583333333333</v>
      </c>
    </row>
    <row r="24" spans="1:4" x14ac:dyDescent="0.25">
      <c r="A24" t="str">
        <v>NIBONG_GILA</v>
      </c>
      <c r="B24" t="str">
        <v>Met Weather Radar</v>
      </c>
      <c r="C24" s="2">
        <v>3.1447222222222222</v>
      </c>
      <c r="D24" s="2">
        <v>101.55861111111111</v>
      </c>
    </row>
    <row r="25" spans="1:4" x14ac:dyDescent="0.25">
      <c r="A25" t="str">
        <v>TITIWANGSA</v>
      </c>
      <c r="B25" t="str">
        <v>Titiwangsa Lake</v>
      </c>
      <c r="C25" s="2">
        <v>3.1774999999999998</v>
      </c>
      <c r="D25" s="2">
        <v>101.70444444444445</v>
      </c>
    </row>
    <row r="26" spans="1:4" x14ac:dyDescent="0.25">
      <c r="A26" t="str">
        <v>SEGAMBUT</v>
      </c>
      <c r="B26" t="str">
        <v>DUKE Jalan Kuching Interchange</v>
      </c>
      <c r="C26" s="2">
        <v>3.1919444444444443</v>
      </c>
      <c r="D26" s="2">
        <v>101.66888888888889</v>
      </c>
    </row>
    <row r="27" spans="1:4" x14ac:dyDescent="0.25">
      <c r="A27" t="str">
        <v>UTM_MOSQUE</v>
      </c>
      <c r="B27" t="str">
        <v>UTM Mosque</v>
      </c>
      <c r="C27" s="2">
        <v>1.5591666666666668</v>
      </c>
      <c r="D27" s="2">
        <v>103.6375</v>
      </c>
    </row>
    <row r="28" spans="1:4" x14ac:dyDescent="0.25">
      <c r="A28" t="str">
        <v>BENUT</v>
      </c>
      <c r="B28" t="str">
        <v>Benut</v>
      </c>
      <c r="C28" s="2">
        <v>1.6441666666666666</v>
      </c>
      <c r="D28" s="2">
        <v>103.25944444444444</v>
      </c>
    </row>
    <row r="29" spans="1:4" x14ac:dyDescent="0.25">
      <c r="A29" t="str">
        <v>KULAI_TOL_PLAZA</v>
      </c>
      <c r="B29" t="str">
        <v>Kulai Tol Plaza</v>
      </c>
      <c r="C29" s="2">
        <v>1.65</v>
      </c>
      <c r="D29" s="2">
        <v>103.55499999999999</v>
      </c>
    </row>
    <row r="30" spans="1:4" x14ac:dyDescent="0.25">
      <c r="A30" t="str">
        <v>EAST_JOHOR_BAHRU_AIRFIELD</v>
      </c>
      <c r="B30" t="str">
        <v>East of Johor Bahru Airfield</v>
      </c>
      <c r="C30" s="2">
        <v>1.6680555555555554</v>
      </c>
      <c r="D30" s="2">
        <v>103.71638888888889</v>
      </c>
    </row>
    <row r="31" spans="1:4" x14ac:dyDescent="0.25">
      <c r="A31" t="str">
        <v>KOTA_TINGGI_BRIDGE</v>
      </c>
      <c r="B31" t="str">
        <v>Kota Tinggi Bridge</v>
      </c>
      <c r="C31" s="2">
        <v>1.7288888888888889</v>
      </c>
      <c r="D31" s="2">
        <v>103.90166666666667</v>
      </c>
    </row>
    <row r="32" spans="1:4" x14ac:dyDescent="0.25">
      <c r="A32" t="str">
        <v>EAST_KG_SG_TIRAM</v>
      </c>
      <c r="B32" t="str">
        <v>East of Kg Sg Tiram</v>
      </c>
      <c r="C32" s="2">
        <v>1.5833333333333335</v>
      </c>
      <c r="D32" s="2">
        <v>103.91666666666667</v>
      </c>
    </row>
    <row r="33" spans="1:4" x14ac:dyDescent="0.25">
      <c r="A33" t="str">
        <v>EAST_JOHOR_BAHRU_TOWN</v>
      </c>
      <c r="B33" t="str">
        <v>East of Johor Bahru Town</v>
      </c>
      <c r="C33" s="2">
        <v>1.5038888888888888</v>
      </c>
      <c r="D33" s="2">
        <v>103.86499999999999</v>
      </c>
    </row>
    <row r="34" spans="1:4" x14ac:dyDescent="0.25">
      <c r="A34" t="str">
        <v>FELDA_ULU_TEBRAU</v>
      </c>
      <c r="B34" t="str">
        <v>Felda Ulu Tebrau</v>
      </c>
      <c r="C34" s="2">
        <v>1.6308333333333334</v>
      </c>
      <c r="D34" s="2">
        <v>103.75277777777778</v>
      </c>
    </row>
    <row r="35" spans="1:4" x14ac:dyDescent="0.25">
      <c r="A35" t="str">
        <v>TEBRAU_CITY_MALL</v>
      </c>
      <c r="B35" t="str">
        <v>Tebrau City Mall</v>
      </c>
      <c r="C35" s="2">
        <v>1.549722222222222</v>
      </c>
      <c r="D35" s="2">
        <v>103.79666666666667</v>
      </c>
    </row>
    <row r="36" spans="1:4" x14ac:dyDescent="0.25">
      <c r="A36" t="str">
        <v>SOUTH_KG_SEMANGAR</v>
      </c>
      <c r="B36" t="str">
        <v>South Of Kg Semangar</v>
      </c>
      <c r="C36" s="2">
        <v>1.7416666666666667</v>
      </c>
      <c r="D36" s="2">
        <v>103.78333333333333</v>
      </c>
    </row>
    <row r="37" spans="1:4" x14ac:dyDescent="0.25">
      <c r="A37" t="str">
        <v>KG_SEDILI_BESAR</v>
      </c>
      <c r="B37" t="str">
        <v>Kampung Sedili Besar</v>
      </c>
      <c r="C37" s="2">
        <v>1.9266666666666665</v>
      </c>
      <c r="D37" s="2">
        <v>104.11611111111111</v>
      </c>
    </row>
    <row r="38" spans="1:4" x14ac:dyDescent="0.25">
      <c r="A38" t="str">
        <v>SIMPANG_RENGGAM_TOWN</v>
      </c>
      <c r="B38" t="str">
        <v>Simpang Renggam Town</v>
      </c>
      <c r="C38" s="2">
        <v>1.8277777777777777</v>
      </c>
      <c r="D38" s="2">
        <v>103.30944444444444</v>
      </c>
    </row>
    <row r="39" spans="1:4" x14ac:dyDescent="0.25">
      <c r="A39" t="str">
        <v>AIR_HITAM</v>
      </c>
      <c r="B39" t="str">
        <v>Air Hitam</v>
      </c>
      <c r="C39" s="2">
        <v>1.931111111111111</v>
      </c>
      <c r="D39" s="2">
        <v>103.17583333333334</v>
      </c>
    </row>
    <row r="40" spans="1:4" x14ac:dyDescent="0.25">
      <c r="A40" t="str">
        <v>YONG_PENG</v>
      </c>
      <c r="B40" t="str">
        <v>Yong Peng</v>
      </c>
      <c r="C40" s="2">
        <v>2.0172222222222222</v>
      </c>
      <c r="D40" s="2">
        <v>103.06305555555555</v>
      </c>
    </row>
    <row r="41" spans="1:4" x14ac:dyDescent="0.25">
      <c r="A41" t="str">
        <v>POINT_XRAY</v>
      </c>
      <c r="B41" t="str">
        <v>Point XRay</v>
      </c>
      <c r="C41" s="2">
        <v>1.4750000000000001</v>
      </c>
      <c r="D41" s="2">
        <v>103.83166666666666</v>
      </c>
    </row>
    <row r="42" spans="1:4" x14ac:dyDescent="0.25">
      <c r="A42" t="str">
        <v>TASS_ANDRASSY</v>
      </c>
      <c r="B42" t="str">
        <v>Tass Andrassy</v>
      </c>
      <c r="C42" s="2">
        <v>4.3213888888888885</v>
      </c>
      <c r="D42" s="2">
        <v>118.02138888888889</v>
      </c>
    </row>
    <row r="43" spans="1:4" x14ac:dyDescent="0.25">
      <c r="A43" t="str">
        <v>OLD_AIRPORT</v>
      </c>
      <c r="B43" t="str">
        <v>Old Airport</v>
      </c>
      <c r="C43" s="2">
        <v>4.2669444444444444</v>
      </c>
      <c r="D43" s="2">
        <v>117.88666666666667</v>
      </c>
    </row>
    <row r="44" spans="1:4" x14ac:dyDescent="0.25">
      <c r="A44" t="str">
        <v>SEBATIK_IS</v>
      </c>
      <c r="B44" t="str">
        <v>Sebatik Island</v>
      </c>
      <c r="C44" s="2">
        <v>4.2230555555555558</v>
      </c>
      <c r="D44" s="2">
        <v>117.78055555555555</v>
      </c>
    </row>
    <row r="45" spans="1:4" x14ac:dyDescent="0.25">
      <c r="A45" t="str">
        <v>KALABAKAN</v>
      </c>
      <c r="B45" t="str">
        <v>Kalabakan</v>
      </c>
      <c r="C45" s="2">
        <v>4.3988888888888891</v>
      </c>
      <c r="D45" s="2">
        <v>117.495</v>
      </c>
    </row>
    <row r="46" spans="1:4" x14ac:dyDescent="0.25">
      <c r="A46" t="str">
        <v>BALUNG</v>
      </c>
      <c r="B46" t="str">
        <v>Balung</v>
      </c>
      <c r="C46" s="2">
        <v>4.3644444444444437</v>
      </c>
      <c r="D46" s="2">
        <v>118.12777777777777</v>
      </c>
    </row>
    <row r="47" spans="1:4" x14ac:dyDescent="0.25">
      <c r="A47" t="str">
        <v>KAWA_HILL</v>
      </c>
      <c r="B47" t="str">
        <v>Kawa Hill</v>
      </c>
      <c r="C47" s="2">
        <v>4.3938888888888892</v>
      </c>
      <c r="D47" s="2">
        <v>118.08694444444444</v>
      </c>
    </row>
    <row r="48" spans="1:4" x14ac:dyDescent="0.25">
      <c r="A48" t="str">
        <v>MT_PYRAMID</v>
      </c>
      <c r="B48" t="str">
        <v>Mt Pyramid</v>
      </c>
      <c r="C48" s="2">
        <v>4.4733333333333336</v>
      </c>
      <c r="D48" s="2">
        <v>118.06916666666666</v>
      </c>
    </row>
    <row r="49" spans="1:4" x14ac:dyDescent="0.25">
      <c r="A49" t="str">
        <v>BATURONG</v>
      </c>
      <c r="B49" t="str">
        <v>Baturong</v>
      </c>
      <c r="C49" s="2">
        <v>4.6994444444444445</v>
      </c>
      <c r="D49" s="2">
        <v>118.0025</v>
      </c>
    </row>
    <row r="50" spans="1:4" x14ac:dyDescent="0.25">
      <c r="A50" t="str">
        <v>DANUM</v>
      </c>
      <c r="B50" t="str">
        <v>Danum</v>
      </c>
      <c r="C50" s="2">
        <v>4.8519444444444444</v>
      </c>
      <c r="D50" s="2">
        <v>117.78638888888889</v>
      </c>
    </row>
    <row r="51" spans="1:4" x14ac:dyDescent="0.25">
      <c r="A51" t="str">
        <v>JUNCTION_(49KM)</v>
      </c>
      <c r="B51" t="str">
        <v>Junction (49KM)</v>
      </c>
      <c r="C51" s="2">
        <v>4.4266666666666667</v>
      </c>
      <c r="D51" s="2">
        <v>118.17833333333334</v>
      </c>
    </row>
    <row r="52" spans="1:4" x14ac:dyDescent="0.25">
      <c r="A52" t="str">
        <v>KG_AMAN</v>
      </c>
      <c r="B52" t="str">
        <v>Kampung Aman</v>
      </c>
      <c r="C52" s="2">
        <v>4.6036111111111104</v>
      </c>
      <c r="D52" s="2">
        <v>118.18972222222223</v>
      </c>
    </row>
    <row r="53" spans="1:4" x14ac:dyDescent="0.25">
      <c r="A53" t="str">
        <v>TJ_BATAI</v>
      </c>
      <c r="B53" t="str">
        <v>Tanjung Batai</v>
      </c>
      <c r="C53" s="2">
        <v>4.8386111111111108</v>
      </c>
      <c r="D53" s="2">
        <v>118.16777777777779</v>
      </c>
    </row>
    <row r="54" spans="1:4" x14ac:dyDescent="0.25">
      <c r="A54" t="str">
        <v>SADDLE_HILL</v>
      </c>
      <c r="B54" t="str">
        <v>Saddle Hill</v>
      </c>
      <c r="C54" s="2">
        <v>4.2988888888888885</v>
      </c>
      <c r="D54" s="2">
        <v>118.18555555555555</v>
      </c>
    </row>
    <row r="55" spans="1:4" x14ac:dyDescent="0.25">
      <c r="A55" t="str">
        <v>NAGOS</v>
      </c>
      <c r="B55" t="str">
        <v>Nagos</v>
      </c>
      <c r="C55" s="2">
        <v>4.3477777777777771</v>
      </c>
      <c r="D55" s="2">
        <v>118.39305555555556</v>
      </c>
    </row>
    <row r="56" spans="1:4" x14ac:dyDescent="0.25">
      <c r="A56" t="str">
        <v>SEMPORNA</v>
      </c>
      <c r="B56" t="str">
        <v>Semporna</v>
      </c>
      <c r="C56" s="2">
        <v>4.4497222222222224</v>
      </c>
      <c r="D56" s="2">
        <v>118.59638888888888</v>
      </c>
    </row>
    <row r="57" spans="1:4" x14ac:dyDescent="0.25">
      <c r="A57" t="str">
        <v>GAYA_IS</v>
      </c>
      <c r="B57" t="str">
        <v>Gaya Island</v>
      </c>
      <c r="C57" s="2">
        <v>4.6222222222222227</v>
      </c>
      <c r="D57" s="2">
        <v>118.74027777777778</v>
      </c>
    </row>
    <row r="58" spans="1:4" x14ac:dyDescent="0.25">
      <c r="A58" t="str">
        <v>SIPADAN_IS</v>
      </c>
      <c r="B58" t="str">
        <v>Sipadan Island</v>
      </c>
      <c r="C58" s="2">
        <v>4.1405555555555562</v>
      </c>
      <c r="D58" s="2">
        <v>118.6438888888889</v>
      </c>
    </row>
    <row r="59" spans="1:4" x14ac:dyDescent="0.25">
      <c r="A59" t="str">
        <v>BANDAR_INDAH_(ROAD_JUNCTION)</v>
      </c>
      <c r="B59" t="str">
        <v>Bandar Indah (Road Junction)</v>
      </c>
      <c r="C59" s="2">
        <v>5.855833333333333</v>
      </c>
      <c r="D59" s="2">
        <v>118.07222222222222</v>
      </c>
    </row>
    <row r="60" spans="1:4" x14ac:dyDescent="0.25">
      <c r="A60" t="str">
        <v>KAMPONG_TOBANKA</v>
      </c>
      <c r="B60" t="str">
        <v>Kampong Tobanka</v>
      </c>
      <c r="C60" s="2">
        <v>6.019166666666667</v>
      </c>
      <c r="D60" s="2">
        <v>118.03944444444444</v>
      </c>
    </row>
    <row r="61" spans="1:4" x14ac:dyDescent="0.25">
      <c r="A61" t="str">
        <v>BAI_IS</v>
      </c>
      <c r="B61" t="str">
        <v>Bai Island</v>
      </c>
      <c r="C61" s="2">
        <v>5.7752777777777773</v>
      </c>
      <c r="D61" s="2">
        <v>118.10027777777778</v>
      </c>
    </row>
    <row r="62" spans="1:4" x14ac:dyDescent="0.25">
      <c r="A62" t="str">
        <v>TJ_BIDADARI</v>
      </c>
      <c r="B62" t="str">
        <v>Tanjung Bidadari</v>
      </c>
      <c r="C62" s="2">
        <v>5.8244444444444445</v>
      </c>
      <c r="D62" s="2">
        <v>118.34916666666666</v>
      </c>
    </row>
    <row r="63" spans="1:4" x14ac:dyDescent="0.25">
      <c r="A63" t="str">
        <v>KUALA_KINABATANGAN_BESAR</v>
      </c>
      <c r="B63" t="str">
        <v>Kuala Kinabatangan Besar</v>
      </c>
      <c r="C63" s="2">
        <v>5.642777777777777</v>
      </c>
      <c r="D63" s="2">
        <v>118.6125</v>
      </c>
    </row>
    <row r="64" spans="1:4" x14ac:dyDescent="0.25">
      <c r="A64" t="str">
        <v>KG_BILIT</v>
      </c>
      <c r="B64" t="str">
        <v>Kampung Bilit</v>
      </c>
      <c r="C64" s="2">
        <v>5.4975000000000005</v>
      </c>
      <c r="D64" s="2">
        <v>118.20805555555556</v>
      </c>
    </row>
    <row r="65" spans="1:4" x14ac:dyDescent="0.25">
      <c r="A65" t="str">
        <v>SG_SEGUNTOR</v>
      </c>
      <c r="B65" t="str">
        <v>Sungai Seguntor</v>
      </c>
      <c r="C65" s="2">
        <v>5.8066666666666666</v>
      </c>
      <c r="D65" s="2">
        <v>117.99361111111111</v>
      </c>
    </row>
    <row r="66" spans="1:4" x14ac:dyDescent="0.25">
      <c r="A66" t="str">
        <v>KOTA_KINABATANGAN</v>
      </c>
      <c r="B66" t="str">
        <v>Kota Kinabatangan</v>
      </c>
      <c r="C66" s="2">
        <v>5.5888888888888886</v>
      </c>
      <c r="D66" s="2">
        <v>117.845</v>
      </c>
    </row>
    <row r="67" spans="1:4" x14ac:dyDescent="0.25">
      <c r="A67" t="str">
        <v>KG_KUALA_LOKAN</v>
      </c>
      <c r="B67" t="str">
        <v>Kampung Kuala Lokan</v>
      </c>
      <c r="C67" s="2">
        <v>5.4369444444444444</v>
      </c>
      <c r="D67" s="2">
        <v>117.74861111111112</v>
      </c>
    </row>
    <row r="68" spans="1:4" x14ac:dyDescent="0.25">
      <c r="A68" t="str">
        <v>MILE_32_RD_JUNCTION</v>
      </c>
      <c r="B68" t="str">
        <v>Mile 32 Rd Junction</v>
      </c>
      <c r="C68" s="2">
        <v>5.7577777777777781</v>
      </c>
      <c r="D68" s="2">
        <v>117.75861111111111</v>
      </c>
    </row>
    <row r="69" spans="1:4" x14ac:dyDescent="0.25">
      <c r="A69" t="str">
        <v>TELUPID</v>
      </c>
      <c r="B69" t="str">
        <v>Telupid</v>
      </c>
      <c r="C69" s="2">
        <v>5.6275000000000004</v>
      </c>
      <c r="D69" s="2">
        <v>117.13055555555555</v>
      </c>
    </row>
    <row r="70" spans="1:4" x14ac:dyDescent="0.25">
      <c r="A70" t="str">
        <v>KG_GUMGUM_LAUT</v>
      </c>
      <c r="B70" t="str">
        <v>Kampung GumGum Laut</v>
      </c>
      <c r="C70" s="2">
        <v>5.969444444444445</v>
      </c>
      <c r="D70" s="2">
        <v>117.90972222222223</v>
      </c>
    </row>
    <row r="71" spans="1:4" x14ac:dyDescent="0.25">
      <c r="A71" t="str">
        <v>KG_SEMAWANG</v>
      </c>
      <c r="B71" t="str">
        <v>Kampung Semawang</v>
      </c>
      <c r="C71" s="2">
        <v>5.9197222222222221</v>
      </c>
      <c r="D71" s="2">
        <v>117.76222222222222</v>
      </c>
    </row>
    <row r="72" spans="1:4" x14ac:dyDescent="0.25">
      <c r="A72" t="str">
        <v>BELURAN</v>
      </c>
      <c r="B72" t="str">
        <v>Beluran</v>
      </c>
      <c r="C72" s="2">
        <v>5.8949999999999996</v>
      </c>
      <c r="D72" s="2">
        <v>117.55694444444444</v>
      </c>
    </row>
    <row r="73" spans="1:4" x14ac:dyDescent="0.25">
      <c r="A73" t="str">
        <v>KENAWI_IS</v>
      </c>
      <c r="B73" t="str">
        <v>Kenawi Island</v>
      </c>
      <c r="C73" s="2">
        <v>5.9883333333333333</v>
      </c>
      <c r="D73" s="2">
        <v>117.70194444444445</v>
      </c>
    </row>
    <row r="74" spans="1:4" x14ac:dyDescent="0.25">
      <c r="A74" t="str">
        <v>KG_SG-SG</v>
      </c>
      <c r="B74" t="str">
        <v>Kampung Sungai-Sungai</v>
      </c>
      <c r="C74" s="2">
        <v>6.2508333333333335</v>
      </c>
      <c r="D74" s="2">
        <v>117.35111111111111</v>
      </c>
    </row>
    <row r="75" spans="1:4" x14ac:dyDescent="0.25">
      <c r="A75" t="str">
        <v>KG_TERUSAN</v>
      </c>
      <c r="B75" t="str">
        <v>Kampung Terusan</v>
      </c>
      <c r="C75" s="2">
        <v>6.4258333333333333</v>
      </c>
      <c r="D75" s="2">
        <v>117.68722222222223</v>
      </c>
    </row>
    <row r="76" spans="1:4" x14ac:dyDescent="0.25">
      <c r="A76" t="str">
        <v>SELINGAN_IS</v>
      </c>
      <c r="B76" t="str">
        <v>Selingan Island</v>
      </c>
      <c r="C76" s="2">
        <v>6.1741666666666672</v>
      </c>
      <c r="D76" s="2">
        <v>118.06055555555555</v>
      </c>
    </row>
    <row r="77" spans="1:4" x14ac:dyDescent="0.25">
      <c r="A77" t="str">
        <v>LANKAYAN_IS</v>
      </c>
      <c r="B77" t="str">
        <v>Lankayan Island</v>
      </c>
      <c r="C77" s="2">
        <v>6.5</v>
      </c>
      <c r="D77" s="2">
        <v>117.91666666666667</v>
      </c>
    </row>
    <row r="78" spans="1:4" x14ac:dyDescent="0.25">
      <c r="A78" t="str">
        <v>SOUTH_BERHALA_IS</v>
      </c>
      <c r="B78" t="str">
        <v>South of Berhala Island</v>
      </c>
      <c r="C78" s="2">
        <v>5.8641666666666667</v>
      </c>
      <c r="D78" s="2">
        <v>118.14833333333334</v>
      </c>
    </row>
    <row r="79" spans="1:4" x14ac:dyDescent="0.25">
      <c r="A79" t="str">
        <v>LUANG_MANIS</v>
      </c>
      <c r="B79" t="str">
        <v>Luang Manis</v>
      </c>
      <c r="C79" s="2">
        <v>5.666666666666667</v>
      </c>
      <c r="D79" s="2">
        <v>117.655</v>
      </c>
    </row>
    <row r="80" spans="1:4" x14ac:dyDescent="0.25">
      <c r="A80" t="str">
        <v>PAMAGUAN_PRIMARY_SCHOOL</v>
      </c>
      <c r="B80" t="str">
        <v>Pamaguan Primary School</v>
      </c>
      <c r="C80" s="2">
        <v>5.9575000000000005</v>
      </c>
      <c r="D80" s="2">
        <v>118.06444444444445</v>
      </c>
    </row>
    <row r="81" spans="1:4" x14ac:dyDescent="0.25">
      <c r="A81" t="str">
        <v>PORT_WELD</v>
      </c>
      <c r="B81" t="str">
        <v>Port Weld</v>
      </c>
      <c r="C81" s="2">
        <v>4.8380555555555551</v>
      </c>
      <c r="D81" s="2">
        <v>100.62583333333333</v>
      </c>
    </row>
    <row r="82" spans="1:4" x14ac:dyDescent="0.25">
      <c r="A82" t="str">
        <v>TJ_PIANDANG</v>
      </c>
      <c r="B82" t="str">
        <v>Tanjung Piandang</v>
      </c>
      <c r="C82" s="2">
        <v>5.0880555555555551</v>
      </c>
      <c r="D82" s="2">
        <v>100.36055555555555</v>
      </c>
    </row>
    <row r="83" spans="1:4" x14ac:dyDescent="0.25">
      <c r="A83" t="str">
        <v>SOUTH_P_AMAN</v>
      </c>
      <c r="B83" t="str">
        <v>South of Pulau Aman</v>
      </c>
      <c r="C83" s="2">
        <v>5.2586111111111107</v>
      </c>
      <c r="D83" s="2">
        <v>100.38416666666667</v>
      </c>
    </row>
    <row r="84" spans="1:4" x14ac:dyDescent="0.25">
      <c r="A84" t="str">
        <v>KEDAH_PEAK_WEST</v>
      </c>
      <c r="B84" t="str">
        <v>Kedah Peak West</v>
      </c>
      <c r="C84" s="2">
        <v>5.743611111111111</v>
      </c>
      <c r="D84" s="2">
        <v>100.35694444444444</v>
      </c>
    </row>
    <row r="85" spans="1:4" x14ac:dyDescent="0.25">
      <c r="A85" t="str">
        <v>KUALA_SG_MUDA</v>
      </c>
      <c r="B85" t="str">
        <v>Kuala Sungai Muda</v>
      </c>
      <c r="C85" s="2">
        <v>5.5774999999999997</v>
      </c>
      <c r="D85" s="2">
        <v>100.33583333333333</v>
      </c>
    </row>
    <row r="86" spans="1:4" x14ac:dyDescent="0.25">
      <c r="A86" t="str">
        <v>NORTH_GEORGE_TOWN</v>
      </c>
      <c r="B86" t="str">
        <v>North of George Town</v>
      </c>
      <c r="C86" s="2">
        <v>5.464722222222222</v>
      </c>
      <c r="D86" s="2">
        <v>100.30722222222222</v>
      </c>
    </row>
    <row r="87" spans="1:4" x14ac:dyDescent="0.25">
      <c r="A87" t="str">
        <v>WEST_P_GAYA</v>
      </c>
      <c r="B87" t="str">
        <v>West of Pulau Gaya</v>
      </c>
      <c r="C87" s="2">
        <v>6.05</v>
      </c>
      <c r="D87" s="2">
        <v>116</v>
      </c>
    </row>
    <row r="88" spans="1:4" x14ac:dyDescent="0.25">
      <c r="A88" t="str">
        <v>P_SULUG</v>
      </c>
      <c r="B88" t="str">
        <v>Pulau Sulug</v>
      </c>
      <c r="C88" s="2">
        <v>5.9611111111111112</v>
      </c>
      <c r="D88" s="2">
        <v>115.99166666666667</v>
      </c>
    </row>
    <row r="89" spans="1:4" x14ac:dyDescent="0.25">
      <c r="A89" t="str">
        <v>P_TIGA</v>
      </c>
      <c r="B89" t="str">
        <v>Pulau Tiga</v>
      </c>
      <c r="C89" s="2">
        <v>5.75</v>
      </c>
      <c r="D89" s="2">
        <v>115.65833333333335</v>
      </c>
    </row>
    <row r="90" spans="1:4" x14ac:dyDescent="0.25">
      <c r="A90" t="str">
        <v>KUALA_PENYU</v>
      </c>
      <c r="B90" t="str">
        <v>Kuala Penyu</v>
      </c>
      <c r="C90" s="2">
        <v>5.5666666666666664</v>
      </c>
      <c r="D90" s="2">
        <v>115.6</v>
      </c>
    </row>
    <row r="91" spans="1:4" x14ac:dyDescent="0.25">
      <c r="A91" t="str">
        <v>BONGAWAN</v>
      </c>
      <c r="B91" t="str">
        <v>Bongawan</v>
      </c>
      <c r="C91" s="2">
        <v>5.5388888888888888</v>
      </c>
      <c r="D91" s="2">
        <v>115.85777777777777</v>
      </c>
    </row>
    <row r="92" spans="1:4" x14ac:dyDescent="0.25">
      <c r="A92" t="str">
        <v>EAST_PAPAR</v>
      </c>
      <c r="B92" t="str">
        <v>East of Papar</v>
      </c>
      <c r="C92" s="2">
        <v>5.7</v>
      </c>
      <c r="D92" s="2">
        <v>116.01666666666667</v>
      </c>
    </row>
    <row r="93" spans="1:4" x14ac:dyDescent="0.25">
      <c r="A93" t="str">
        <v>EAST_KAWANG</v>
      </c>
      <c r="B93" t="str">
        <v>East of Kawang</v>
      </c>
      <c r="C93" s="2">
        <v>5.7666666666666666</v>
      </c>
      <c r="D93" s="2">
        <v>116.05</v>
      </c>
    </row>
    <row r="94" spans="1:4" x14ac:dyDescent="0.25">
      <c r="A94" t="str">
        <v>EAST_KINARUT_TOWN</v>
      </c>
      <c r="B94" t="str">
        <v>East of Kinarut Town</v>
      </c>
      <c r="C94" s="2">
        <v>5.8183333333333334</v>
      </c>
      <c r="D94" s="2">
        <v>116.07194444444444</v>
      </c>
    </row>
    <row r="95" spans="1:4" x14ac:dyDescent="0.25">
      <c r="A95" t="str">
        <v>KEPAYAN</v>
      </c>
      <c r="B95" t="str">
        <v>Kepayan</v>
      </c>
      <c r="C95" s="2">
        <v>5.9258333333333333</v>
      </c>
      <c r="D95" s="2">
        <v>116.05833333333334</v>
      </c>
    </row>
    <row r="96" spans="1:4" x14ac:dyDescent="0.25">
      <c r="A96" t="str">
        <v>EAST_INANAM_TOWN</v>
      </c>
      <c r="B96" t="str">
        <v>East of Inanam Town</v>
      </c>
      <c r="C96" s="2">
        <v>5.9955555555555557</v>
      </c>
      <c r="D96" s="2">
        <v>116.15138888888889</v>
      </c>
    </row>
    <row r="97" spans="1:4" x14ac:dyDescent="0.25">
      <c r="A97" t="str">
        <v>EAST_TELIPOK</v>
      </c>
      <c r="B97" t="str">
        <v>East of Telipok</v>
      </c>
      <c r="C97" s="2">
        <v>6.1083333333333334</v>
      </c>
      <c r="D97" s="2">
        <v>116.20833333333334</v>
      </c>
    </row>
    <row r="98" spans="1:4" x14ac:dyDescent="0.25">
      <c r="A98" t="str">
        <v>KG_KIULU</v>
      </c>
      <c r="B98" t="str">
        <v>Kampung Kiulu</v>
      </c>
      <c r="C98" s="2">
        <v>6.0616666666666665</v>
      </c>
      <c r="D98" s="2">
        <v>116.28305555555555</v>
      </c>
    </row>
    <row r="99" spans="1:4" x14ac:dyDescent="0.25">
      <c r="A99" t="str">
        <v>KG_BALABAKAN</v>
      </c>
      <c r="B99" t="str">
        <v>Kampung Balabakan</v>
      </c>
      <c r="C99" s="2">
        <v>6.0250000000000004</v>
      </c>
      <c r="D99" s="2">
        <v>116.4538888888889</v>
      </c>
    </row>
    <row r="100" spans="1:4" x14ac:dyDescent="0.25">
      <c r="A100" t="str">
        <v>RANAU</v>
      </c>
      <c r="B100" t="str">
        <v>Ranau</v>
      </c>
      <c r="C100" s="2">
        <v>5.9583333333333339</v>
      </c>
      <c r="D100" s="2">
        <v>116.67500000000001</v>
      </c>
    </row>
    <row r="101" spans="1:4" x14ac:dyDescent="0.25">
      <c r="A101" t="str">
        <v>WEST_HILL_1040</v>
      </c>
      <c r="B101" t="str">
        <v>West of Hill 1040</v>
      </c>
      <c r="C101" s="2">
        <v>6.1097222222222216</v>
      </c>
      <c r="D101" s="2">
        <v>116.07694444444444</v>
      </c>
    </row>
    <row r="102" spans="1:4" x14ac:dyDescent="0.25">
      <c r="A102" t="str">
        <v>TJ_DALIT</v>
      </c>
      <c r="B102" t="str">
        <v>Tanjung Dalit</v>
      </c>
      <c r="C102" s="2">
        <v>6.16</v>
      </c>
      <c r="D102" s="2">
        <v>116.14166666666668</v>
      </c>
    </row>
    <row r="103" spans="1:4" x14ac:dyDescent="0.25">
      <c r="A103" t="str">
        <v>KOTA_BELUD</v>
      </c>
      <c r="B103" t="str">
        <v>Kota Belud</v>
      </c>
      <c r="C103" s="2">
        <v>6.3466666666666667</v>
      </c>
      <c r="D103" s="2">
        <v>116.39777777777779</v>
      </c>
    </row>
    <row r="104" spans="1:4" x14ac:dyDescent="0.25">
      <c r="A104" t="str">
        <v>TERENDAK</v>
      </c>
      <c r="B104" t="str">
        <v>Terendak</v>
      </c>
      <c r="C104" s="2">
        <v>2.2922222222222222</v>
      </c>
      <c r="D104" s="2">
        <v>102.0911111111111</v>
      </c>
    </row>
    <row r="105" spans="1:4" x14ac:dyDescent="0.25">
      <c r="A105" t="str">
        <v>REMBIA</v>
      </c>
      <c r="B105" t="str">
        <v>Rembia</v>
      </c>
      <c r="C105" s="2">
        <v>2.2822222222222224</v>
      </c>
      <c r="D105" s="2">
        <v>102.215</v>
      </c>
    </row>
    <row r="106" spans="1:4" x14ac:dyDescent="0.25">
      <c r="A106" t="str">
        <v>TAMPIN</v>
      </c>
      <c r="B106" t="str">
        <v>Tampin</v>
      </c>
      <c r="C106" s="2">
        <v>2.4705555555555558</v>
      </c>
      <c r="D106" s="2">
        <v>102.23</v>
      </c>
    </row>
    <row r="107" spans="1:4" x14ac:dyDescent="0.25">
      <c r="A107" t="str">
        <v>CHIN_CHIN</v>
      </c>
      <c r="B107" t="str">
        <v>Chin Chin</v>
      </c>
      <c r="C107" s="2">
        <v>2.29</v>
      </c>
      <c r="D107" s="2">
        <v>102.47777777777777</v>
      </c>
    </row>
    <row r="108" spans="1:4" x14ac:dyDescent="0.25">
      <c r="A108" t="str">
        <v>BT_BERUANG</v>
      </c>
      <c r="B108" t="str">
        <v>Bt Beruang</v>
      </c>
      <c r="C108" s="2">
        <v>2.2422222222222223</v>
      </c>
      <c r="D108" s="2">
        <v>102.30472222222222</v>
      </c>
    </row>
    <row r="109" spans="1:4" x14ac:dyDescent="0.25">
      <c r="A109" t="str">
        <v>UMBAI</v>
      </c>
      <c r="B109" t="str">
        <v>Umbai</v>
      </c>
      <c r="C109" s="2">
        <v>2.1555555555555554</v>
      </c>
      <c r="D109" s="2">
        <v>102.34444444444443</v>
      </c>
    </row>
    <row r="110" spans="1:4" x14ac:dyDescent="0.25">
      <c r="A110" t="str">
        <v>MALACCA_CITY</v>
      </c>
      <c r="B110" t="str">
        <v>Malacca City</v>
      </c>
      <c r="C110" s="2">
        <v>2.2000000000000002</v>
      </c>
      <c r="D110" s="2">
        <v>102.25</v>
      </c>
    </row>
    <row r="111" spans="1:4" x14ac:dyDescent="0.25">
      <c r="A111" t="str">
        <v>MUAR</v>
      </c>
      <c r="B111" t="str">
        <v>Muar</v>
      </c>
      <c r="C111" s="2">
        <v>2.0616666666666665</v>
      </c>
      <c r="D111" s="2">
        <v>102.565</v>
      </c>
    </row>
    <row r="112" spans="1:4" x14ac:dyDescent="0.25">
      <c r="A112" t="str">
        <v>TANGKAK</v>
      </c>
      <c r="B112" t="str">
        <v>Tangkak</v>
      </c>
      <c r="C112" s="2">
        <v>2.2722222222222221</v>
      </c>
      <c r="D112" s="2">
        <v>102.54444444444444</v>
      </c>
    </row>
    <row r="113" spans="1:4" x14ac:dyDescent="0.25">
      <c r="A113" t="str">
        <v>PAGOH</v>
      </c>
      <c r="B113" t="str">
        <v>Pagoh</v>
      </c>
      <c r="C113" s="2">
        <v>2.15</v>
      </c>
      <c r="D113" s="2">
        <v>102.77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3482F-544A-447D-978F-FA0EB3A3DF59}">
  <dimension ref="A1:F113"/>
  <sheetViews>
    <sheetView topLeftCell="A70" workbookViewId="0">
      <selection activeCell="I103" sqref="I103"/>
    </sheetView>
  </sheetViews>
  <sheetFormatPr defaultRowHeight="15" x14ac:dyDescent="0.25"/>
  <cols>
    <col min="1" max="1" width="33.85546875" bestFit="1" customWidth="1"/>
    <col min="2" max="3" width="33.85546875" customWidth="1"/>
    <col min="4" max="4" width="36.28515625" bestFit="1" customWidth="1"/>
    <col min="5" max="6" width="9" customWidth="1"/>
  </cols>
  <sheetData>
    <row r="1" spans="1:6" x14ac:dyDescent="0.25">
      <c r="A1" s="1" t="s">
        <v>276</v>
      </c>
      <c r="B1" s="1" t="s">
        <v>277</v>
      </c>
      <c r="C1" s="1" t="s">
        <v>279</v>
      </c>
      <c r="D1" s="1" t="s">
        <v>280</v>
      </c>
      <c r="E1" s="1" t="s">
        <v>281</v>
      </c>
      <c r="F1" s="1" t="s">
        <v>282</v>
      </c>
    </row>
    <row r="2" spans="1:6" x14ac:dyDescent="0.25">
      <c r="A2" t="str" cm="1">
        <f t="array" ref="A2:A113">_xlfn.XLOOKUP('Source Data'!F1,'Source Data'!$F$1:$J$1,'Source Data'!$F$2:$J$113)</f>
        <v>SGBESR</v>
      </c>
      <c r="B2" t="s">
        <v>278</v>
      </c>
      <c r="D2" t="str" cm="1">
        <f t="array" ref="D2:D113">_xlfn.XLOOKUP('Source Data'!H1,'Source Data'!$F$1:$J$1,'Source Data'!$F$2:$J$113)</f>
        <v>Sungai Besar Stadium</v>
      </c>
      <c r="E2" s="2" cm="1">
        <f t="array" ref="E2:E113">_xlfn.XLOOKUP('Source Data'!I1,'Source Data'!$F$1:$J$1,'Source Data'!$F$2:$J$113)</f>
        <v>3.6744444444444442</v>
      </c>
      <c r="F2" cm="1">
        <f t="array" ref="F2:F113">_xlfn.XLOOKUP('Source Data'!J1,'Source Data'!$F$1:$J$1,'Source Data'!$F$2:$J$113)</f>
        <v>100.98666666666666</v>
      </c>
    </row>
    <row r="3" spans="1:6" x14ac:dyDescent="0.25">
      <c r="A3" t="str">
        <v>KLSELA</v>
      </c>
      <c r="B3" t="s">
        <v>278</v>
      </c>
      <c r="D3" t="str">
        <v>Kuala Selangor Bridge</v>
      </c>
      <c r="E3" s="2">
        <v>3.3405555555555555</v>
      </c>
      <c r="F3" s="2">
        <v>101.2525</v>
      </c>
    </row>
    <row r="4" spans="1:6" x14ac:dyDescent="0.25">
      <c r="A4" t="str">
        <v>KAPAR</v>
      </c>
      <c r="B4" t="s">
        <v>278</v>
      </c>
      <c r="D4" t="str">
        <v>Kapar Junction</v>
      </c>
      <c r="E4" s="2">
        <v>3.1361111111111111</v>
      </c>
      <c r="F4" s="2">
        <v>101.37583333333333</v>
      </c>
    </row>
    <row r="5" spans="1:6" x14ac:dyDescent="0.25">
      <c r="A5" t="str">
        <v>PTKLNG</v>
      </c>
      <c r="B5" t="s">
        <v>278</v>
      </c>
      <c r="D5" t="str">
        <v>Pulau Indah Bridge</v>
      </c>
      <c r="E5" s="2">
        <v>3.0322222222222224</v>
      </c>
      <c r="F5" s="2">
        <v>101.3611111111111</v>
      </c>
    </row>
    <row r="6" spans="1:6" x14ac:dyDescent="0.25">
      <c r="A6" t="str">
        <v>MORIB</v>
      </c>
      <c r="B6" t="s">
        <v>278</v>
      </c>
      <c r="D6" t="str">
        <v>Golf Course</v>
      </c>
      <c r="E6" s="2">
        <v>2.7433333333333332</v>
      </c>
      <c r="F6" s="2">
        <v>101.44638888888889</v>
      </c>
    </row>
    <row r="7" spans="1:6" x14ac:dyDescent="0.25">
      <c r="A7" t="str">
        <v>TJSEPT</v>
      </c>
      <c r="B7" t="s">
        <v>278</v>
      </c>
      <c r="D7" t="str">
        <v>Jetty Tanjung Sepat</v>
      </c>
      <c r="E7" s="2">
        <v>2.6591666666666667</v>
      </c>
      <c r="F7" s="2">
        <v>101.55611111111111</v>
      </c>
    </row>
    <row r="8" spans="1:6" x14ac:dyDescent="0.25">
      <c r="A8" t="str">
        <v>TJTUAN</v>
      </c>
      <c r="B8" t="s">
        <v>278</v>
      </c>
      <c r="D8" t="str">
        <v>Lighthouse</v>
      </c>
      <c r="E8" s="2">
        <v>2.4069444444444446</v>
      </c>
      <c r="F8" s="2">
        <v>101.85194444444444</v>
      </c>
    </row>
    <row r="9" spans="1:6" x14ac:dyDescent="0.25">
      <c r="A9" t="str">
        <v>SLMRVR</v>
      </c>
      <c r="B9" t="s">
        <v>278</v>
      </c>
      <c r="D9" t="str">
        <v>Slim River Hospital</v>
      </c>
      <c r="E9" s="2">
        <v>3.8372222222222225</v>
      </c>
      <c r="F9" s="2">
        <v>101.40416666666667</v>
      </c>
    </row>
    <row r="10" spans="1:6" x14ac:dyDescent="0.25">
      <c r="A10" t="str">
        <v>TJMALM</v>
      </c>
      <c r="B10" t="s">
        <v>278</v>
      </c>
      <c r="D10" t="str">
        <v>Universiti Perguruan Sult</v>
      </c>
      <c r="E10" s="2">
        <v>3.6850000000000001</v>
      </c>
      <c r="F10" s="2">
        <v>101.52388888888889</v>
      </c>
    </row>
    <row r="11" spans="1:6" x14ac:dyDescent="0.25">
      <c r="A11" t="str">
        <v>RAWANG</v>
      </c>
      <c r="B11" t="s">
        <v>278</v>
      </c>
      <c r="D11" t="str">
        <v>Lafarge plant</v>
      </c>
      <c r="E11" s="2">
        <v>3.3091666666666666</v>
      </c>
      <c r="F11" s="2">
        <v>101.57111111111111</v>
      </c>
    </row>
    <row r="12" spans="1:6" x14ac:dyDescent="0.25">
      <c r="A12" t="str">
        <v>BATUCV</v>
      </c>
      <c r="B12" t="s">
        <v>278</v>
      </c>
      <c r="D12" t="str">
        <v>Hindu Temple</v>
      </c>
      <c r="E12" s="2">
        <v>3.2375000000000003</v>
      </c>
      <c r="F12" s="2">
        <v>101.68388888888889</v>
      </c>
    </row>
    <row r="13" spans="1:6" x14ac:dyDescent="0.25">
      <c r="A13" t="str">
        <v>SGBESI</v>
      </c>
      <c r="B13" t="s">
        <v>278</v>
      </c>
      <c r="D13" t="str">
        <v>Smart Toll Plaza</v>
      </c>
      <c r="E13" s="2">
        <v>3.108888888888889</v>
      </c>
      <c r="F13" s="2">
        <v>101.70222222222222</v>
      </c>
    </row>
    <row r="14" spans="1:6" x14ac:dyDescent="0.25">
      <c r="A14" t="str">
        <v>KAJANG</v>
      </c>
      <c r="B14" t="s">
        <v>278</v>
      </c>
      <c r="D14" t="str">
        <v>Stadium</v>
      </c>
      <c r="E14" s="2">
        <v>2.9944444444444445</v>
      </c>
      <c r="F14" s="2">
        <v>101.78694444444444</v>
      </c>
    </row>
    <row r="15" spans="1:6" x14ac:dyDescent="0.25">
      <c r="A15" t="str">
        <v>SERMBN</v>
      </c>
      <c r="B15" t="s">
        <v>278</v>
      </c>
      <c r="D15" t="str">
        <v>Seremban Mosque</v>
      </c>
      <c r="E15" s="2">
        <v>2.7219444444444445</v>
      </c>
      <c r="F15" s="2">
        <v>101.94222222222223</v>
      </c>
    </row>
    <row r="16" spans="1:6" x14ac:dyDescent="0.25">
      <c r="A16" t="str">
        <v>BENTNG</v>
      </c>
      <c r="B16" t="s">
        <v>278</v>
      </c>
      <c r="D16" t="str">
        <v>Dataran Bentong</v>
      </c>
      <c r="E16" s="2">
        <v>3.5291666666666668</v>
      </c>
      <c r="F16" s="2">
        <v>101.90472222222223</v>
      </c>
    </row>
    <row r="17" spans="1:6" x14ac:dyDescent="0.25">
      <c r="A17" t="str">
        <v>RANTAU</v>
      </c>
      <c r="B17" t="s">
        <v>278</v>
      </c>
      <c r="D17" t="str">
        <v>TNB Substation</v>
      </c>
      <c r="E17" s="2">
        <v>2.5947222222222224</v>
      </c>
      <c r="F17" s="2">
        <v>101.96194444444444</v>
      </c>
    </row>
    <row r="18" spans="1:6" x14ac:dyDescent="0.25">
      <c r="A18" t="str">
        <v>KLKLWG</v>
      </c>
      <c r="B18" t="s">
        <v>278</v>
      </c>
      <c r="D18" t="str">
        <v>Jelebu District Council</v>
      </c>
      <c r="E18" s="2">
        <v>2.9408333333333334</v>
      </c>
      <c r="F18" s="2">
        <v>102.06944444444444</v>
      </c>
    </row>
    <row r="19" spans="1:6" x14ac:dyDescent="0.25">
      <c r="A19" t="str">
        <v>PETJYA</v>
      </c>
      <c r="B19" t="s">
        <v>278</v>
      </c>
      <c r="D19" t="str">
        <v>Menara TM</v>
      </c>
      <c r="E19" s="2">
        <v>3.1158333333333332</v>
      </c>
      <c r="F19" s="2">
        <v>101.66555555555556</v>
      </c>
    </row>
    <row r="20" spans="1:6" x14ac:dyDescent="0.25">
      <c r="A20" t="str">
        <v>BTLNJN</v>
      </c>
      <c r="B20" t="s">
        <v>278</v>
      </c>
      <c r="D20" t="str">
        <v>Tol Sungai Penchala</v>
      </c>
      <c r="E20" s="2">
        <v>3.1774999999999998</v>
      </c>
      <c r="F20" s="2">
        <v>101.61944444444444</v>
      </c>
    </row>
    <row r="21" spans="1:6" x14ac:dyDescent="0.25">
      <c r="A21" t="str">
        <v>PCKPRD</v>
      </c>
      <c r="B21" t="s">
        <v>278</v>
      </c>
      <c r="D21" t="str">
        <v>Puncak Perdana Interchang</v>
      </c>
      <c r="E21" s="2">
        <v>3.1344444444444446</v>
      </c>
      <c r="F21" s="2">
        <v>101.49611111111111</v>
      </c>
    </row>
    <row r="22" spans="1:6" x14ac:dyDescent="0.25">
      <c r="A22" t="str">
        <v>SHALAM</v>
      </c>
      <c r="B22" t="s">
        <v>278</v>
      </c>
      <c r="D22" t="str">
        <v>Sultan Salahudin Abdul Az</v>
      </c>
      <c r="E22" s="2">
        <v>3.0788888888888892</v>
      </c>
      <c r="F22" s="2">
        <v>101.52055555555556</v>
      </c>
    </row>
    <row r="23" spans="1:6" x14ac:dyDescent="0.25">
      <c r="A23" t="str">
        <v>KUANG</v>
      </c>
      <c r="B23" t="s">
        <v>278</v>
      </c>
      <c r="D23" t="str">
        <v>Guthrie – LATAR Expresswa</v>
      </c>
      <c r="E23" s="2">
        <v>3.2694444444444444</v>
      </c>
      <c r="F23" s="2">
        <v>101.54583333333333</v>
      </c>
    </row>
    <row r="24" spans="1:6" x14ac:dyDescent="0.25">
      <c r="A24" t="str">
        <v>NBGILA</v>
      </c>
      <c r="B24" t="s">
        <v>278</v>
      </c>
      <c r="D24" t="str">
        <v>Met Weather Radar</v>
      </c>
      <c r="E24" s="2">
        <v>3.1447222222222222</v>
      </c>
      <c r="F24" s="2">
        <v>101.55861111111111</v>
      </c>
    </row>
    <row r="25" spans="1:6" x14ac:dyDescent="0.25">
      <c r="A25" t="str">
        <v>TITWGS</v>
      </c>
      <c r="B25" t="s">
        <v>278</v>
      </c>
      <c r="D25" t="str">
        <v>Titiwangsa Lake</v>
      </c>
      <c r="E25" s="2">
        <v>3.1774999999999998</v>
      </c>
      <c r="F25" s="2">
        <v>101.70444444444445</v>
      </c>
    </row>
    <row r="26" spans="1:6" x14ac:dyDescent="0.25">
      <c r="A26" t="str">
        <v>SGMBUT</v>
      </c>
      <c r="B26" t="s">
        <v>278</v>
      </c>
      <c r="D26" t="str">
        <v>DUKE Jalan Kuching Interc</v>
      </c>
      <c r="E26" s="2">
        <v>3.1919444444444443</v>
      </c>
      <c r="F26" s="2">
        <v>101.66888888888889</v>
      </c>
    </row>
    <row r="27" spans="1:6" x14ac:dyDescent="0.25">
      <c r="A27" t="str">
        <v>UTMMSQ</v>
      </c>
      <c r="B27" t="s">
        <v>278</v>
      </c>
      <c r="D27" t="str">
        <v>UTM Mosque</v>
      </c>
      <c r="E27" s="2">
        <v>1.5591666666666668</v>
      </c>
      <c r="F27" s="2">
        <v>103.6375</v>
      </c>
    </row>
    <row r="28" spans="1:6" x14ac:dyDescent="0.25">
      <c r="A28" t="str">
        <v>BENUT</v>
      </c>
      <c r="B28" t="s">
        <v>278</v>
      </c>
      <c r="D28" t="str">
        <v>Benut</v>
      </c>
      <c r="E28" s="2">
        <v>1.6441666666666666</v>
      </c>
      <c r="F28" s="2">
        <v>103.25944444444444</v>
      </c>
    </row>
    <row r="29" spans="1:6" x14ac:dyDescent="0.25">
      <c r="A29" t="str">
        <v>KULAI</v>
      </c>
      <c r="B29" t="s">
        <v>278</v>
      </c>
      <c r="D29" t="str">
        <v>Kulai Tol Plaza</v>
      </c>
      <c r="E29" s="2">
        <v>1.65</v>
      </c>
      <c r="F29" s="2">
        <v>103.55499999999999</v>
      </c>
    </row>
    <row r="30" spans="1:6" x14ac:dyDescent="0.25">
      <c r="A30" t="str">
        <v>EJBAIR</v>
      </c>
      <c r="B30" t="s">
        <v>278</v>
      </c>
      <c r="D30" t="str">
        <v>East of Johor Bahru Airfi</v>
      </c>
      <c r="E30" s="2">
        <v>1.6680555555555554</v>
      </c>
      <c r="F30" s="2">
        <v>103.71638888888889</v>
      </c>
    </row>
    <row r="31" spans="1:6" x14ac:dyDescent="0.25">
      <c r="A31" t="str">
        <v>KOTATG</v>
      </c>
      <c r="B31" t="s">
        <v>278</v>
      </c>
      <c r="D31" t="str">
        <v>Kota Tinggi Bridge</v>
      </c>
      <c r="E31" s="2">
        <v>1.7288888888888889</v>
      </c>
      <c r="F31" s="2">
        <v>103.90166666666667</v>
      </c>
    </row>
    <row r="32" spans="1:6" x14ac:dyDescent="0.25">
      <c r="A32" t="str">
        <v>ETIRAM</v>
      </c>
      <c r="B32" t="s">
        <v>278</v>
      </c>
      <c r="D32" t="str">
        <v>East of Kg Sg Tiram</v>
      </c>
      <c r="E32" s="2">
        <v>1.5833333333333335</v>
      </c>
      <c r="F32" s="2">
        <v>103.91666666666667</v>
      </c>
    </row>
    <row r="33" spans="1:6" x14ac:dyDescent="0.25">
      <c r="A33" t="str">
        <v>EASTJB</v>
      </c>
      <c r="B33" t="s">
        <v>278</v>
      </c>
      <c r="D33" t="str">
        <v>East of Johor Bahru Town</v>
      </c>
      <c r="E33" s="2">
        <v>1.5038888888888888</v>
      </c>
      <c r="F33" s="2">
        <v>103.86499999999999</v>
      </c>
    </row>
    <row r="34" spans="1:6" x14ac:dyDescent="0.25">
      <c r="A34" t="str">
        <v>FELDA</v>
      </c>
      <c r="B34" t="s">
        <v>278</v>
      </c>
      <c r="D34" t="str">
        <v>Felda Ulu Tebrau</v>
      </c>
      <c r="E34" s="2">
        <v>1.6308333333333334</v>
      </c>
      <c r="F34" s="2">
        <v>103.75277777777778</v>
      </c>
    </row>
    <row r="35" spans="1:6" x14ac:dyDescent="0.25">
      <c r="A35" t="str">
        <v>TEBMAL</v>
      </c>
      <c r="B35" t="s">
        <v>278</v>
      </c>
      <c r="D35" t="str">
        <v>Tebrau City Mall</v>
      </c>
      <c r="E35" s="2">
        <v>1.549722222222222</v>
      </c>
      <c r="F35" s="2">
        <v>103.79666666666667</v>
      </c>
    </row>
    <row r="36" spans="1:6" x14ac:dyDescent="0.25">
      <c r="A36" t="str">
        <v>SKGSEM</v>
      </c>
      <c r="B36" t="s">
        <v>278</v>
      </c>
      <c r="D36" t="str">
        <v>South Of Kg Semangar</v>
      </c>
      <c r="E36" s="2">
        <v>1.7416666666666667</v>
      </c>
      <c r="F36" s="2">
        <v>103.78333333333333</v>
      </c>
    </row>
    <row r="37" spans="1:6" x14ac:dyDescent="0.25">
      <c r="A37" t="str">
        <v>SDLBSR</v>
      </c>
      <c r="B37" t="s">
        <v>278</v>
      </c>
      <c r="D37" t="str">
        <v>Kampung Sedili Besar</v>
      </c>
      <c r="E37" s="2">
        <v>1.9266666666666665</v>
      </c>
      <c r="F37" s="2">
        <v>104.11611111111111</v>
      </c>
    </row>
    <row r="38" spans="1:6" x14ac:dyDescent="0.25">
      <c r="A38" t="str">
        <v>SPGRNG</v>
      </c>
      <c r="B38" t="s">
        <v>278</v>
      </c>
      <c r="D38" t="str">
        <v>Simpang Renggam Town</v>
      </c>
      <c r="E38" s="2">
        <v>1.8277777777777777</v>
      </c>
      <c r="F38" s="2">
        <v>103.30944444444444</v>
      </c>
    </row>
    <row r="39" spans="1:6" x14ac:dyDescent="0.25">
      <c r="A39" t="str">
        <v>AIRHTM</v>
      </c>
      <c r="B39" t="s">
        <v>278</v>
      </c>
      <c r="D39" t="str">
        <v>Air Hitam</v>
      </c>
      <c r="E39" s="2">
        <v>1.931111111111111</v>
      </c>
      <c r="F39" s="2">
        <v>103.17583333333334</v>
      </c>
    </row>
    <row r="40" spans="1:6" x14ac:dyDescent="0.25">
      <c r="A40" t="str">
        <v>YONGPG</v>
      </c>
      <c r="B40" t="s">
        <v>278</v>
      </c>
      <c r="D40" t="str">
        <v>Yong Peng</v>
      </c>
      <c r="E40" s="2">
        <v>2.0172222222222222</v>
      </c>
      <c r="F40" s="2">
        <v>103.06305555555555</v>
      </c>
    </row>
    <row r="41" spans="1:6" x14ac:dyDescent="0.25">
      <c r="A41" t="str">
        <v>PTXRAY</v>
      </c>
      <c r="B41" t="s">
        <v>278</v>
      </c>
      <c r="D41" t="str">
        <v>Point XRay</v>
      </c>
      <c r="E41" s="2">
        <v>1.4750000000000001</v>
      </c>
      <c r="F41" s="2">
        <v>103.83166666666666</v>
      </c>
    </row>
    <row r="42" spans="1:6" x14ac:dyDescent="0.25">
      <c r="A42" t="str">
        <v>TASSAN</v>
      </c>
      <c r="B42" t="s">
        <v>278</v>
      </c>
      <c r="D42" t="str">
        <v>Tass Andrassy</v>
      </c>
      <c r="E42" s="2">
        <v>4.3213888888888885</v>
      </c>
      <c r="F42" s="2">
        <v>118.02138888888889</v>
      </c>
    </row>
    <row r="43" spans="1:6" x14ac:dyDescent="0.25">
      <c r="A43" t="str">
        <v>OLDAIR</v>
      </c>
      <c r="B43" t="s">
        <v>278</v>
      </c>
      <c r="D43" t="str">
        <v>Old Airport</v>
      </c>
      <c r="E43" s="2">
        <v>4.2669444444444444</v>
      </c>
      <c r="F43" s="2">
        <v>117.88666666666667</v>
      </c>
    </row>
    <row r="44" spans="1:6" x14ac:dyDescent="0.25">
      <c r="A44" t="str">
        <v>SBTKIS</v>
      </c>
      <c r="B44" t="s">
        <v>278</v>
      </c>
      <c r="D44" t="str">
        <v>Sebatik Island</v>
      </c>
      <c r="E44" s="2">
        <v>4.2230555555555558</v>
      </c>
      <c r="F44" s="2">
        <v>117.78055555555555</v>
      </c>
    </row>
    <row r="45" spans="1:6" x14ac:dyDescent="0.25">
      <c r="A45" t="str">
        <v>KLBKN</v>
      </c>
      <c r="B45" t="s">
        <v>278</v>
      </c>
      <c r="D45" t="str">
        <v>Kalabakan</v>
      </c>
      <c r="E45" s="2">
        <v>4.3988888888888891</v>
      </c>
      <c r="F45" s="2">
        <v>117.495</v>
      </c>
    </row>
    <row r="46" spans="1:6" x14ac:dyDescent="0.25">
      <c r="A46" t="str">
        <v>BALUNG</v>
      </c>
      <c r="B46" t="s">
        <v>278</v>
      </c>
      <c r="D46" t="str">
        <v>Balung</v>
      </c>
      <c r="E46" s="2">
        <v>4.3644444444444437</v>
      </c>
      <c r="F46" s="2">
        <v>118.12777777777777</v>
      </c>
    </row>
    <row r="47" spans="1:6" x14ac:dyDescent="0.25">
      <c r="A47" t="str">
        <v>KWAHLL</v>
      </c>
      <c r="B47" t="s">
        <v>278</v>
      </c>
      <c r="D47" t="str">
        <v>Kawa Hill</v>
      </c>
      <c r="E47" s="2">
        <v>4.3938888888888892</v>
      </c>
      <c r="F47" s="2">
        <v>118.08694444444444</v>
      </c>
    </row>
    <row r="48" spans="1:6" x14ac:dyDescent="0.25">
      <c r="A48" t="str">
        <v>MTPYRM</v>
      </c>
      <c r="B48" t="s">
        <v>278</v>
      </c>
      <c r="D48" t="str">
        <v>Mt Pyramid</v>
      </c>
      <c r="E48" s="2">
        <v>4.4733333333333336</v>
      </c>
      <c r="F48" s="2">
        <v>118.06916666666666</v>
      </c>
    </row>
    <row r="49" spans="1:6" x14ac:dyDescent="0.25">
      <c r="A49" t="str">
        <v>BTRNG</v>
      </c>
      <c r="B49" t="s">
        <v>278</v>
      </c>
      <c r="D49" t="str">
        <v>Baturong</v>
      </c>
      <c r="E49" s="2">
        <v>4.6994444444444445</v>
      </c>
      <c r="F49" s="2">
        <v>118.0025</v>
      </c>
    </row>
    <row r="50" spans="1:6" x14ac:dyDescent="0.25">
      <c r="A50" t="str">
        <v>DANUM</v>
      </c>
      <c r="B50" t="s">
        <v>278</v>
      </c>
      <c r="D50" t="str">
        <v>Danum</v>
      </c>
      <c r="E50" s="2">
        <v>4.8519444444444444</v>
      </c>
      <c r="F50" s="2">
        <v>117.78638888888889</v>
      </c>
    </row>
    <row r="51" spans="1:6" x14ac:dyDescent="0.25">
      <c r="A51" t="str">
        <v>JCT49K</v>
      </c>
      <c r="B51" t="s">
        <v>278</v>
      </c>
      <c r="D51" t="str">
        <v>Junction (49KM)</v>
      </c>
      <c r="E51" s="2">
        <v>4.4266666666666667</v>
      </c>
      <c r="F51" s="2">
        <v>118.17833333333334</v>
      </c>
    </row>
    <row r="52" spans="1:6" x14ac:dyDescent="0.25">
      <c r="A52" t="str">
        <v>KGAMAN</v>
      </c>
      <c r="B52" t="s">
        <v>278</v>
      </c>
      <c r="D52" t="str">
        <v>Kampung Aman</v>
      </c>
      <c r="E52" s="2">
        <v>4.6036111111111104</v>
      </c>
      <c r="F52" s="2">
        <v>118.18972222222223</v>
      </c>
    </row>
    <row r="53" spans="1:6" x14ac:dyDescent="0.25">
      <c r="A53" t="str">
        <v>TJBATI</v>
      </c>
      <c r="B53" t="s">
        <v>278</v>
      </c>
      <c r="D53" t="str">
        <v>Tanjung Batai</v>
      </c>
      <c r="E53" s="2">
        <v>4.8386111111111108</v>
      </c>
      <c r="F53" s="2">
        <v>118.16777777777779</v>
      </c>
    </row>
    <row r="54" spans="1:6" x14ac:dyDescent="0.25">
      <c r="A54" t="str">
        <v>SDLHLL</v>
      </c>
      <c r="B54" t="s">
        <v>278</v>
      </c>
      <c r="D54" t="str">
        <v>Saddle Hill</v>
      </c>
      <c r="E54" s="2">
        <v>4.2988888888888885</v>
      </c>
      <c r="F54" s="2">
        <v>118.18555555555555</v>
      </c>
    </row>
    <row r="55" spans="1:6" x14ac:dyDescent="0.25">
      <c r="A55" t="str">
        <v>NAGOS</v>
      </c>
      <c r="B55" t="s">
        <v>278</v>
      </c>
      <c r="D55" t="str">
        <v>Nagos</v>
      </c>
      <c r="E55" s="2">
        <v>4.3477777777777771</v>
      </c>
      <c r="F55" s="2">
        <v>118.39305555555556</v>
      </c>
    </row>
    <row r="56" spans="1:6" x14ac:dyDescent="0.25">
      <c r="A56" t="str">
        <v>SMPRNA</v>
      </c>
      <c r="B56" t="s">
        <v>278</v>
      </c>
      <c r="D56" t="str">
        <v>Semporna</v>
      </c>
      <c r="E56" s="2">
        <v>4.4497222222222224</v>
      </c>
      <c r="F56" s="2">
        <v>118.59638888888888</v>
      </c>
    </row>
    <row r="57" spans="1:6" x14ac:dyDescent="0.25">
      <c r="A57" t="str">
        <v>GAYAIS</v>
      </c>
      <c r="B57" t="s">
        <v>278</v>
      </c>
      <c r="D57" t="str">
        <v>Gaya Island</v>
      </c>
      <c r="E57" s="2">
        <v>4.6222222222222227</v>
      </c>
      <c r="F57" s="2">
        <v>118.74027777777778</v>
      </c>
    </row>
    <row r="58" spans="1:6" x14ac:dyDescent="0.25">
      <c r="A58" t="str">
        <v>SPDNIS</v>
      </c>
      <c r="B58" t="s">
        <v>278</v>
      </c>
      <c r="D58" t="str">
        <v>Sipadan Island</v>
      </c>
      <c r="E58" s="2">
        <v>4.1405555555555562</v>
      </c>
      <c r="F58" s="2">
        <v>118.6438888888889</v>
      </c>
    </row>
    <row r="59" spans="1:6" x14ac:dyDescent="0.25">
      <c r="A59" t="str">
        <v>BNDIND</v>
      </c>
      <c r="B59" t="s">
        <v>278</v>
      </c>
      <c r="D59" t="str">
        <v>Bandar Indah (Road Juncti</v>
      </c>
      <c r="E59" s="2">
        <v>5.855833333333333</v>
      </c>
      <c r="F59" s="2">
        <v>118.07222222222222</v>
      </c>
    </row>
    <row r="60" spans="1:6" x14ac:dyDescent="0.25">
      <c r="A60" t="str">
        <v>KPTBNK</v>
      </c>
      <c r="B60" t="s">
        <v>278</v>
      </c>
      <c r="D60" t="str">
        <v>Kampong Tobanka</v>
      </c>
      <c r="E60" s="2">
        <v>6.019166666666667</v>
      </c>
      <c r="F60" s="2">
        <v>118.03944444444444</v>
      </c>
    </row>
    <row r="61" spans="1:6" x14ac:dyDescent="0.25">
      <c r="A61" t="str">
        <v>BAIIS</v>
      </c>
      <c r="B61" t="s">
        <v>278</v>
      </c>
      <c r="D61" t="str">
        <v>Bai Island</v>
      </c>
      <c r="E61" s="2">
        <v>5.7752777777777773</v>
      </c>
      <c r="F61" s="2">
        <v>118.10027777777778</v>
      </c>
    </row>
    <row r="62" spans="1:6" x14ac:dyDescent="0.25">
      <c r="A62" t="str">
        <v>TJBDR</v>
      </c>
      <c r="B62" t="s">
        <v>278</v>
      </c>
      <c r="D62" t="str">
        <v>Tanjung Bidadari</v>
      </c>
      <c r="E62" s="2">
        <v>5.8244444444444445</v>
      </c>
      <c r="F62" s="2">
        <v>118.34916666666666</v>
      </c>
    </row>
    <row r="63" spans="1:6" x14ac:dyDescent="0.25">
      <c r="A63" t="str">
        <v>KLKNBB</v>
      </c>
      <c r="B63" t="s">
        <v>278</v>
      </c>
      <c r="D63" t="str">
        <v>Kuala Kinabatangan Besar</v>
      </c>
      <c r="E63" s="2">
        <v>5.642777777777777</v>
      </c>
      <c r="F63" s="2">
        <v>118.6125</v>
      </c>
    </row>
    <row r="64" spans="1:6" x14ac:dyDescent="0.25">
      <c r="A64" t="str">
        <v>KGBILT</v>
      </c>
      <c r="B64" t="s">
        <v>278</v>
      </c>
      <c r="D64" t="str">
        <v>Kampung Bilit</v>
      </c>
      <c r="E64" s="2">
        <v>5.4975000000000005</v>
      </c>
      <c r="F64" s="2">
        <v>118.20805555555556</v>
      </c>
    </row>
    <row r="65" spans="1:6" x14ac:dyDescent="0.25">
      <c r="A65" t="str">
        <v>SGSEG</v>
      </c>
      <c r="B65" t="s">
        <v>278</v>
      </c>
      <c r="D65" t="str">
        <v>Sungai Seguntor</v>
      </c>
      <c r="E65" s="2">
        <v>5.8066666666666666</v>
      </c>
      <c r="F65" s="2">
        <v>117.99361111111111</v>
      </c>
    </row>
    <row r="66" spans="1:6" x14ac:dyDescent="0.25">
      <c r="A66" t="str">
        <v>KTKNB</v>
      </c>
      <c r="B66" t="s">
        <v>278</v>
      </c>
      <c r="D66" t="str">
        <v>Kota Kinabatangan</v>
      </c>
      <c r="E66" s="2">
        <v>5.5888888888888886</v>
      </c>
      <c r="F66" s="2">
        <v>117.845</v>
      </c>
    </row>
    <row r="67" spans="1:6" x14ac:dyDescent="0.25">
      <c r="A67" t="str">
        <v>KGKLLK</v>
      </c>
      <c r="B67" t="s">
        <v>278</v>
      </c>
      <c r="D67" t="str">
        <v>Kampung Kuala Lokan</v>
      </c>
      <c r="E67" s="2">
        <v>5.4369444444444444</v>
      </c>
      <c r="F67" s="2">
        <v>117.74861111111112</v>
      </c>
    </row>
    <row r="68" spans="1:6" x14ac:dyDescent="0.25">
      <c r="A68" t="str">
        <v>ML32JT</v>
      </c>
      <c r="B68" t="s">
        <v>278</v>
      </c>
      <c r="D68" t="str">
        <v>Mile 32 Rd Junction</v>
      </c>
      <c r="E68" s="2">
        <v>5.7577777777777781</v>
      </c>
      <c r="F68" s="2">
        <v>117.75861111111111</v>
      </c>
    </row>
    <row r="69" spans="1:6" x14ac:dyDescent="0.25">
      <c r="A69" t="str">
        <v>TELPID</v>
      </c>
      <c r="B69" t="s">
        <v>278</v>
      </c>
      <c r="D69" t="str">
        <v>Telupid</v>
      </c>
      <c r="E69" s="2">
        <v>5.6275000000000004</v>
      </c>
      <c r="F69" s="2">
        <v>117.13055555555555</v>
      </c>
    </row>
    <row r="70" spans="1:6" x14ac:dyDescent="0.25">
      <c r="A70" t="str">
        <v>KGGMGL</v>
      </c>
      <c r="B70" t="s">
        <v>278</v>
      </c>
      <c r="D70" t="str">
        <v>Kampung GumGum Laut</v>
      </c>
      <c r="E70" s="2">
        <v>5.969444444444445</v>
      </c>
      <c r="F70" s="2">
        <v>117.90972222222223</v>
      </c>
    </row>
    <row r="71" spans="1:6" x14ac:dyDescent="0.25">
      <c r="A71" t="str">
        <v>KGSMWG</v>
      </c>
      <c r="B71" t="s">
        <v>278</v>
      </c>
      <c r="D71" t="str">
        <v>Kampung Semawang</v>
      </c>
      <c r="E71" s="2">
        <v>5.9197222222222221</v>
      </c>
      <c r="F71" s="2">
        <v>117.76222222222222</v>
      </c>
    </row>
    <row r="72" spans="1:6" x14ac:dyDescent="0.25">
      <c r="A72" t="str">
        <v>BLURAN</v>
      </c>
      <c r="B72" t="s">
        <v>278</v>
      </c>
      <c r="D72" t="str">
        <v>Beluran</v>
      </c>
      <c r="E72" s="2">
        <v>5.8949999999999996</v>
      </c>
      <c r="F72" s="2">
        <v>117.55694444444444</v>
      </c>
    </row>
    <row r="73" spans="1:6" x14ac:dyDescent="0.25">
      <c r="A73" t="str">
        <v>KNWIIS</v>
      </c>
      <c r="B73" t="s">
        <v>278</v>
      </c>
      <c r="D73" t="str">
        <v>Kenawi Island</v>
      </c>
      <c r="E73" s="2">
        <v>5.9883333333333333</v>
      </c>
      <c r="F73" s="2">
        <v>117.70194444444445</v>
      </c>
    </row>
    <row r="74" spans="1:6" x14ac:dyDescent="0.25">
      <c r="A74" t="str">
        <v>KGSGSG</v>
      </c>
      <c r="B74" t="s">
        <v>278</v>
      </c>
      <c r="D74" t="str">
        <v>Kampung Sungai-Sungai</v>
      </c>
      <c r="E74" s="2">
        <v>6.2508333333333335</v>
      </c>
      <c r="F74" s="2">
        <v>117.35111111111111</v>
      </c>
    </row>
    <row r="75" spans="1:6" x14ac:dyDescent="0.25">
      <c r="A75" t="str">
        <v>KGTRSN</v>
      </c>
      <c r="B75" t="s">
        <v>278</v>
      </c>
      <c r="D75" t="str">
        <v>Kampung Terusan</v>
      </c>
      <c r="E75" s="2">
        <v>6.4258333333333333</v>
      </c>
      <c r="F75" s="2">
        <v>117.68722222222223</v>
      </c>
    </row>
    <row r="76" spans="1:6" x14ac:dyDescent="0.25">
      <c r="A76" t="str">
        <v>SLNGIS</v>
      </c>
      <c r="B76" t="s">
        <v>278</v>
      </c>
      <c r="D76" t="str">
        <v>Selingan Island</v>
      </c>
      <c r="E76" s="2">
        <v>6.1741666666666672</v>
      </c>
      <c r="F76" s="2">
        <v>118.06055555555555</v>
      </c>
    </row>
    <row r="77" spans="1:6" x14ac:dyDescent="0.25">
      <c r="A77" t="str">
        <v>LNKYIS</v>
      </c>
      <c r="B77" t="s">
        <v>278</v>
      </c>
      <c r="D77" t="str">
        <v>Lankayan Island</v>
      </c>
      <c r="E77" s="2">
        <v>6.5</v>
      </c>
      <c r="F77" s="2">
        <v>117.91666666666667</v>
      </c>
    </row>
    <row r="78" spans="1:6" x14ac:dyDescent="0.25">
      <c r="A78" t="str">
        <v>SBRHIS</v>
      </c>
      <c r="B78" t="s">
        <v>278</v>
      </c>
      <c r="D78" t="str">
        <v>South of Berhala Island</v>
      </c>
      <c r="E78" s="2">
        <v>5.8641666666666667</v>
      </c>
      <c r="F78" s="2">
        <v>118.14833333333334</v>
      </c>
    </row>
    <row r="79" spans="1:6" x14ac:dyDescent="0.25">
      <c r="A79" t="str">
        <v>LNGMNS</v>
      </c>
      <c r="B79" t="s">
        <v>278</v>
      </c>
      <c r="D79" t="str">
        <v>Luang Manis</v>
      </c>
      <c r="E79" s="2">
        <v>5.666666666666667</v>
      </c>
      <c r="F79" s="2">
        <v>117.655</v>
      </c>
    </row>
    <row r="80" spans="1:6" x14ac:dyDescent="0.25">
      <c r="A80" t="str">
        <v>PMGSCH</v>
      </c>
      <c r="B80" t="s">
        <v>278</v>
      </c>
      <c r="D80" t="str">
        <v>Pamaguan Primary School</v>
      </c>
      <c r="E80" s="2">
        <v>5.9575000000000005</v>
      </c>
      <c r="F80" s="2">
        <v>118.06444444444445</v>
      </c>
    </row>
    <row r="81" spans="1:6" x14ac:dyDescent="0.25">
      <c r="A81" t="str">
        <v>PRTWLD</v>
      </c>
      <c r="B81" t="s">
        <v>278</v>
      </c>
      <c r="D81" t="str">
        <v>Port Weld</v>
      </c>
      <c r="E81" s="2">
        <v>4.8380555555555551</v>
      </c>
      <c r="F81" s="2">
        <v>100.62583333333333</v>
      </c>
    </row>
    <row r="82" spans="1:6" x14ac:dyDescent="0.25">
      <c r="A82" t="str">
        <v>TJPDNG</v>
      </c>
      <c r="B82" t="s">
        <v>278</v>
      </c>
      <c r="D82" t="str">
        <v>Tanjung Piandang</v>
      </c>
      <c r="E82" s="2">
        <v>5.0880555555555551</v>
      </c>
      <c r="F82" s="2">
        <v>100.36055555555555</v>
      </c>
    </row>
    <row r="83" spans="1:6" x14ac:dyDescent="0.25">
      <c r="A83" t="str">
        <v>PAMAN</v>
      </c>
      <c r="B83" t="s">
        <v>278</v>
      </c>
      <c r="D83" t="str">
        <v>South of Pulau Aman</v>
      </c>
      <c r="E83" s="2">
        <v>5.2586111111111107</v>
      </c>
      <c r="F83" s="2">
        <v>100.38416666666667</v>
      </c>
    </row>
    <row r="84" spans="1:6" x14ac:dyDescent="0.25">
      <c r="A84" t="str">
        <v>KDHPKW</v>
      </c>
      <c r="B84" t="s">
        <v>278</v>
      </c>
      <c r="D84" t="str">
        <v>Kedah Peak West</v>
      </c>
      <c r="E84" s="2">
        <v>5.743611111111111</v>
      </c>
      <c r="F84" s="2">
        <v>100.35694444444444</v>
      </c>
    </row>
    <row r="85" spans="1:6" x14ac:dyDescent="0.25">
      <c r="A85" t="str">
        <v>KLMUDA</v>
      </c>
      <c r="B85" t="s">
        <v>278</v>
      </c>
      <c r="D85" t="str">
        <v>Kuala Sungai Muda</v>
      </c>
      <c r="E85" s="2">
        <v>5.5774999999999997</v>
      </c>
      <c r="F85" s="2">
        <v>100.33583333333333</v>
      </c>
    </row>
    <row r="86" spans="1:6" x14ac:dyDescent="0.25">
      <c r="A86" t="str">
        <v>GRGTWN</v>
      </c>
      <c r="B86" t="s">
        <v>278</v>
      </c>
      <c r="D86" t="str">
        <v>North of George Town</v>
      </c>
      <c r="E86" s="2">
        <v>5.464722222222222</v>
      </c>
      <c r="F86" s="2">
        <v>100.30722222222222</v>
      </c>
    </row>
    <row r="87" spans="1:6" x14ac:dyDescent="0.25">
      <c r="A87" t="str">
        <v>PLGAYA</v>
      </c>
      <c r="B87" t="s">
        <v>278</v>
      </c>
      <c r="D87" t="str">
        <v>West of Pulau Gaya</v>
      </c>
      <c r="E87" s="2">
        <v>6.05</v>
      </c>
      <c r="F87" s="2">
        <v>116</v>
      </c>
    </row>
    <row r="88" spans="1:6" x14ac:dyDescent="0.25">
      <c r="A88" t="str">
        <v>PLSULG</v>
      </c>
      <c r="B88" t="s">
        <v>278</v>
      </c>
      <c r="D88" t="str">
        <v>Pulau Sulug</v>
      </c>
      <c r="E88" s="2">
        <v>5.9611111111111112</v>
      </c>
      <c r="F88" s="2">
        <v>115.99166666666667</v>
      </c>
    </row>
    <row r="89" spans="1:6" x14ac:dyDescent="0.25">
      <c r="A89" t="str">
        <v>PLTIGA</v>
      </c>
      <c r="B89" t="s">
        <v>278</v>
      </c>
      <c r="D89" t="str">
        <v>Pulau Tiga</v>
      </c>
      <c r="E89" s="2">
        <v>5.75</v>
      </c>
      <c r="F89" s="2">
        <v>115.65833333333335</v>
      </c>
    </row>
    <row r="90" spans="1:6" x14ac:dyDescent="0.25">
      <c r="A90" t="str">
        <v>KLPNYU</v>
      </c>
      <c r="B90" t="s">
        <v>278</v>
      </c>
      <c r="D90" t="str">
        <v>Kuala Penyu</v>
      </c>
      <c r="E90" s="2">
        <v>5.5666666666666664</v>
      </c>
      <c r="F90" s="2">
        <v>115.6</v>
      </c>
    </row>
    <row r="91" spans="1:6" x14ac:dyDescent="0.25">
      <c r="A91" t="str">
        <v>BNGWN</v>
      </c>
      <c r="B91" t="s">
        <v>278</v>
      </c>
      <c r="D91" t="str">
        <v>Bongawan</v>
      </c>
      <c r="E91" s="2">
        <v>5.5388888888888888</v>
      </c>
      <c r="F91" s="2">
        <v>115.85777777777777</v>
      </c>
    </row>
    <row r="92" spans="1:6" x14ac:dyDescent="0.25">
      <c r="A92" t="str">
        <v>EPAPAR</v>
      </c>
      <c r="B92" t="s">
        <v>278</v>
      </c>
      <c r="D92" t="str">
        <v>East of Papar</v>
      </c>
      <c r="E92" s="2">
        <v>5.7</v>
      </c>
      <c r="F92" s="2">
        <v>116.01666666666667</v>
      </c>
    </row>
    <row r="93" spans="1:6" x14ac:dyDescent="0.25">
      <c r="A93" t="str">
        <v>EKAWNG</v>
      </c>
      <c r="B93" t="s">
        <v>278</v>
      </c>
      <c r="D93" t="str">
        <v>East of Kawang</v>
      </c>
      <c r="E93" s="2">
        <v>5.7666666666666666</v>
      </c>
      <c r="F93" s="2">
        <v>116.05</v>
      </c>
    </row>
    <row r="94" spans="1:6" x14ac:dyDescent="0.25">
      <c r="A94" t="str">
        <v>EKNRTT</v>
      </c>
      <c r="B94" t="s">
        <v>278</v>
      </c>
      <c r="D94" t="str">
        <v>East of Kinarut Town</v>
      </c>
      <c r="E94" s="2">
        <v>5.8183333333333334</v>
      </c>
      <c r="F94" s="2">
        <v>116.07194444444444</v>
      </c>
    </row>
    <row r="95" spans="1:6" x14ac:dyDescent="0.25">
      <c r="A95" t="str">
        <v>KPYAN</v>
      </c>
      <c r="B95" t="s">
        <v>278</v>
      </c>
      <c r="D95" t="str">
        <v>Kepayan</v>
      </c>
      <c r="E95" s="2">
        <v>5.9258333333333333</v>
      </c>
      <c r="F95" s="2">
        <v>116.05833333333334</v>
      </c>
    </row>
    <row r="96" spans="1:6" x14ac:dyDescent="0.25">
      <c r="A96" t="str">
        <v>EINMNT</v>
      </c>
      <c r="B96" t="s">
        <v>278</v>
      </c>
      <c r="D96" t="str">
        <v>East of Inanam Town</v>
      </c>
      <c r="E96" s="2">
        <v>5.9955555555555557</v>
      </c>
      <c r="F96" s="2">
        <v>116.15138888888889</v>
      </c>
    </row>
    <row r="97" spans="1:6" x14ac:dyDescent="0.25">
      <c r="A97" t="str">
        <v>ETLPOK</v>
      </c>
      <c r="B97" t="s">
        <v>278</v>
      </c>
      <c r="D97" t="str">
        <v>East of Telipok</v>
      </c>
      <c r="E97" s="2">
        <v>6.1083333333333334</v>
      </c>
      <c r="F97" s="2">
        <v>116.20833333333334</v>
      </c>
    </row>
    <row r="98" spans="1:6" x14ac:dyDescent="0.25">
      <c r="A98" t="str">
        <v>KGKULU</v>
      </c>
      <c r="B98" t="s">
        <v>278</v>
      </c>
      <c r="D98" t="str">
        <v>Kampung Kiulu</v>
      </c>
      <c r="E98" s="2">
        <v>6.0616666666666665</v>
      </c>
      <c r="F98" s="2">
        <v>116.28305555555555</v>
      </c>
    </row>
    <row r="99" spans="1:6" x14ac:dyDescent="0.25">
      <c r="A99" t="str">
        <v>KGBLBK</v>
      </c>
      <c r="B99" t="s">
        <v>278</v>
      </c>
      <c r="D99" t="str">
        <v>Kampung Balabakan</v>
      </c>
      <c r="E99" s="2">
        <v>6.0250000000000004</v>
      </c>
      <c r="F99" s="2">
        <v>116.4538888888889</v>
      </c>
    </row>
    <row r="100" spans="1:6" x14ac:dyDescent="0.25">
      <c r="A100" t="str">
        <v>RANAU</v>
      </c>
      <c r="B100" t="s">
        <v>278</v>
      </c>
      <c r="D100" t="str">
        <v>Ranau</v>
      </c>
      <c r="E100" s="2">
        <v>5.9583333333333339</v>
      </c>
      <c r="F100" s="2">
        <v>116.67500000000001</v>
      </c>
    </row>
    <row r="101" spans="1:6" x14ac:dyDescent="0.25">
      <c r="A101" t="str">
        <v>WH1040</v>
      </c>
      <c r="B101" t="s">
        <v>278</v>
      </c>
      <c r="D101" t="str">
        <v>West of Hill 1040</v>
      </c>
      <c r="E101" s="2">
        <v>6.1097222222222216</v>
      </c>
      <c r="F101" s="2">
        <v>116.07694444444444</v>
      </c>
    </row>
    <row r="102" spans="1:6" x14ac:dyDescent="0.25">
      <c r="A102" t="str">
        <v>TJDLT</v>
      </c>
      <c r="B102" t="s">
        <v>278</v>
      </c>
      <c r="D102" t="str">
        <v>Tanjung Dalit</v>
      </c>
      <c r="E102" s="2">
        <v>6.16</v>
      </c>
      <c r="F102" s="2">
        <v>116.14166666666668</v>
      </c>
    </row>
    <row r="103" spans="1:6" x14ac:dyDescent="0.25">
      <c r="A103" t="str">
        <v>KTBLUD</v>
      </c>
      <c r="B103" t="s">
        <v>278</v>
      </c>
      <c r="D103" t="str">
        <v>Kota Belud</v>
      </c>
      <c r="E103" s="2">
        <v>6.3466666666666667</v>
      </c>
      <c r="F103" s="2">
        <v>116.39777777777779</v>
      </c>
    </row>
    <row r="104" spans="1:6" x14ac:dyDescent="0.25">
      <c r="A104" t="str">
        <v>TRNDAK</v>
      </c>
      <c r="B104" t="s">
        <v>278</v>
      </c>
      <c r="D104" t="str">
        <v>Terendak</v>
      </c>
      <c r="E104" s="2">
        <v>2.2922222222222222</v>
      </c>
      <c r="F104" s="2">
        <v>102.0911111111111</v>
      </c>
    </row>
    <row r="105" spans="1:6" x14ac:dyDescent="0.25">
      <c r="A105" t="str">
        <v>REMBIA</v>
      </c>
      <c r="B105" t="s">
        <v>278</v>
      </c>
      <c r="D105" t="str">
        <v>Rembia</v>
      </c>
      <c r="E105" s="2">
        <v>2.2822222222222224</v>
      </c>
      <c r="F105" s="2">
        <v>102.215</v>
      </c>
    </row>
    <row r="106" spans="1:6" x14ac:dyDescent="0.25">
      <c r="A106" t="str">
        <v>TAMPIN</v>
      </c>
      <c r="B106" t="s">
        <v>278</v>
      </c>
      <c r="D106" t="str">
        <v>Tampin</v>
      </c>
      <c r="E106" s="2">
        <v>2.4705555555555558</v>
      </c>
      <c r="F106" s="2">
        <v>102.23</v>
      </c>
    </row>
    <row r="107" spans="1:6" x14ac:dyDescent="0.25">
      <c r="A107" t="str">
        <v>CHNCHN</v>
      </c>
      <c r="B107" t="s">
        <v>278</v>
      </c>
      <c r="D107" t="str">
        <v>Chin Chin</v>
      </c>
      <c r="E107" s="2">
        <v>2.29</v>
      </c>
      <c r="F107" s="2">
        <v>102.47777777777777</v>
      </c>
    </row>
    <row r="108" spans="1:6" x14ac:dyDescent="0.25">
      <c r="A108" t="str">
        <v>BTBERU</v>
      </c>
      <c r="B108" t="s">
        <v>278</v>
      </c>
      <c r="D108" t="str">
        <v>Bt Beruang</v>
      </c>
      <c r="E108" s="2">
        <v>2.2422222222222223</v>
      </c>
      <c r="F108" s="2">
        <v>102.30472222222222</v>
      </c>
    </row>
    <row r="109" spans="1:6" x14ac:dyDescent="0.25">
      <c r="A109" t="str">
        <v>UMBAI</v>
      </c>
      <c r="B109" t="s">
        <v>278</v>
      </c>
      <c r="D109" t="str">
        <v>Umbai</v>
      </c>
      <c r="E109" s="2">
        <v>2.1555555555555554</v>
      </c>
      <c r="F109" s="2">
        <v>102.34444444444443</v>
      </c>
    </row>
    <row r="110" spans="1:6" x14ac:dyDescent="0.25">
      <c r="A110" t="str">
        <v>MALCTY</v>
      </c>
      <c r="B110" t="s">
        <v>278</v>
      </c>
      <c r="D110" t="str">
        <v>Malacca City</v>
      </c>
      <c r="E110" s="2">
        <v>2.2000000000000002</v>
      </c>
      <c r="F110" s="2">
        <v>102.25</v>
      </c>
    </row>
    <row r="111" spans="1:6" x14ac:dyDescent="0.25">
      <c r="A111" t="str">
        <v>MUAR</v>
      </c>
      <c r="B111" t="s">
        <v>278</v>
      </c>
      <c r="D111" t="str">
        <v>Muar</v>
      </c>
      <c r="E111" s="2">
        <v>2.0616666666666665</v>
      </c>
      <c r="F111" s="2">
        <v>102.565</v>
      </c>
    </row>
    <row r="112" spans="1:6" x14ac:dyDescent="0.25">
      <c r="A112" t="str">
        <v>TANKAK</v>
      </c>
      <c r="B112" t="s">
        <v>278</v>
      </c>
      <c r="D112" t="str">
        <v>Tangkak</v>
      </c>
      <c r="E112" s="2">
        <v>2.2722222222222221</v>
      </c>
      <c r="F112" s="2">
        <v>102.54444444444444</v>
      </c>
    </row>
    <row r="113" spans="1:6" x14ac:dyDescent="0.25">
      <c r="A113" t="str">
        <v>PAGOH</v>
      </c>
      <c r="B113" t="s">
        <v>278</v>
      </c>
      <c r="D113" t="str">
        <v>Pagoh</v>
      </c>
      <c r="E113" s="2">
        <v>2.15</v>
      </c>
      <c r="F113" s="2">
        <v>102.77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3"/>
  <sheetViews>
    <sheetView tabSelected="1" topLeftCell="D77" zoomScale="115" zoomScaleNormal="115" workbookViewId="0">
      <selection activeCell="F99" sqref="F99"/>
    </sheetView>
  </sheetViews>
  <sheetFormatPr defaultRowHeight="15" x14ac:dyDescent="0.25"/>
  <cols>
    <col min="1" max="1" width="26.5703125" customWidth="1"/>
    <col min="2" max="2" width="49.5703125" customWidth="1"/>
    <col min="3" max="6" width="26.5703125" customWidth="1"/>
    <col min="7" max="8" width="35.28515625" customWidth="1"/>
    <col min="9" max="10" width="14" customWidth="1"/>
  </cols>
  <sheetData>
    <row r="1" spans="1:10" x14ac:dyDescent="0.25">
      <c r="A1" s="3" t="s">
        <v>220</v>
      </c>
      <c r="B1" s="3" t="s">
        <v>244</v>
      </c>
      <c r="C1" s="3" t="s">
        <v>245</v>
      </c>
      <c r="D1" s="4" t="s">
        <v>283</v>
      </c>
      <c r="E1" s="4" t="s">
        <v>268</v>
      </c>
      <c r="F1" s="4" t="s">
        <v>284</v>
      </c>
      <c r="G1" s="4" t="s">
        <v>223</v>
      </c>
      <c r="H1" s="4" t="s">
        <v>321</v>
      </c>
      <c r="I1" s="4" t="s">
        <v>218</v>
      </c>
      <c r="J1" s="4" t="s">
        <v>219</v>
      </c>
    </row>
    <row r="2" spans="1:10" x14ac:dyDescent="0.25">
      <c r="A2" t="s">
        <v>0</v>
      </c>
      <c r="B2" t="s">
        <v>1</v>
      </c>
      <c r="C2" t="s">
        <v>193</v>
      </c>
      <c r="D2" t="str">
        <f t="shared" ref="D2:D26" si="0">SUBSTITUTE(UPPER(A2), " ", "_")</f>
        <v>SUNGAI_BESAR</v>
      </c>
      <c r="E2" t="str" cm="1">
        <f t="array" ref="E2">_xlfn.REDUCE(D2, _xlfn.SEQUENCE(ROWS(Abbreviations!$A$2:$A$11)), _xlfn.LAMBDA(_xlpm.text,_xlpm.i, SUBSTITUTE(_xlpm.text, INDEX(Abbreviations!$A$2:$A$11, _xlpm.i), INDEX(Abbreviations!$B$2:$B$11, _xlpm.i))))</f>
        <v>SG_BESAR</v>
      </c>
      <c r="F2" t="s">
        <v>332</v>
      </c>
      <c r="G2" t="str">
        <f>B2</f>
        <v>Sungai Besar Stadium</v>
      </c>
      <c r="H2" t="str">
        <f>LEFT(G2,25)</f>
        <v>Sungai Besar Stadium</v>
      </c>
      <c r="I2" s="5">
        <f>(MID(C2,1,2) + MID(C2,3,2)/60 + MID(C2,5,2)/3600) * IF(MID(C2,7,1)="S",-1,1)</f>
        <v>3.6744444444444442</v>
      </c>
      <c r="J2" s="5">
        <f>(MID(C2,9,3) + MID(C2,12,2)/60 + MID(C2,14,2)/3600) * IF(MID(C2,16,1)="W",-1,1)</f>
        <v>100.98666666666666</v>
      </c>
    </row>
    <row r="3" spans="1:10" x14ac:dyDescent="0.25">
      <c r="A3" t="s">
        <v>2</v>
      </c>
      <c r="B3" t="s">
        <v>3</v>
      </c>
      <c r="C3" t="s">
        <v>194</v>
      </c>
      <c r="D3" t="str">
        <f t="shared" si="0"/>
        <v>KUALA_SELANGOR</v>
      </c>
      <c r="E3" t="str" cm="1">
        <f t="array" ref="E3">_xlfn.REDUCE(D3, _xlfn.SEQUENCE(ROWS(Abbreviations!$A$2:$A$11)), _xlfn.LAMBDA(_xlpm.text,_xlpm.i, SUBSTITUTE(_xlpm.text, INDEX(Abbreviations!$A$2:$A$11, _xlpm.i), INDEX(Abbreviations!$B$2:$B$11, _xlpm.i))))</f>
        <v>KUALA_SELANGOR</v>
      </c>
      <c r="F3" t="s">
        <v>333</v>
      </c>
      <c r="G3" t="str">
        <f>B3</f>
        <v>Kuala Selangor Bridge</v>
      </c>
      <c r="H3" t="str">
        <f t="shared" ref="H3:H66" si="1">LEFT(G3,25)</f>
        <v>Kuala Selangor Bridge</v>
      </c>
      <c r="I3" s="5">
        <f>(MID(C3,1,2) + MID(C3,3,2)/60 + MID(C3,5,2)/3600) * IF(MID(C3,7,1)="S",-1,1)</f>
        <v>3.3405555555555555</v>
      </c>
      <c r="J3" s="5">
        <f>(MID(C3,9,3) + MID(C3,12,2)/60 + MID(C3,14,2)/3600) * IF(MID(C3,16,1)="W",-1,1)</f>
        <v>101.2525</v>
      </c>
    </row>
    <row r="4" spans="1:10" x14ac:dyDescent="0.25">
      <c r="A4" t="s">
        <v>4</v>
      </c>
      <c r="B4" t="s">
        <v>5</v>
      </c>
      <c r="C4" t="s">
        <v>195</v>
      </c>
      <c r="D4" t="str">
        <f t="shared" si="0"/>
        <v>KAPAR</v>
      </c>
      <c r="E4" t="str" cm="1">
        <f t="array" ref="E4">_xlfn.REDUCE(D4, _xlfn.SEQUENCE(ROWS(Abbreviations!$A$2:$A$11)), _xlfn.LAMBDA(_xlpm.text,_xlpm.i, SUBSTITUTE(_xlpm.text, INDEX(Abbreviations!$A$2:$A$11, _xlpm.i), INDEX(Abbreviations!$B$2:$B$11, _xlpm.i))))</f>
        <v>KAPAR</v>
      </c>
      <c r="F4" t="s">
        <v>322</v>
      </c>
      <c r="G4" t="str">
        <f>B4</f>
        <v>Kapar Junction</v>
      </c>
      <c r="H4" t="str">
        <f t="shared" si="1"/>
        <v>Kapar Junction</v>
      </c>
      <c r="I4" s="5">
        <f>(MID(C4,1,2) + MID(C4,3,2)/60 + MID(C4,5,2)/3600) * IF(MID(C4,7,1)="S",-1,1)</f>
        <v>3.1361111111111111</v>
      </c>
      <c r="J4" s="5">
        <f>(MID(C4,9,3) + MID(C4,12,2)/60 + MID(C4,14,2)/3600) * IF(MID(C4,16,1)="W",-1,1)</f>
        <v>101.37583333333333</v>
      </c>
    </row>
    <row r="5" spans="1:10" x14ac:dyDescent="0.25">
      <c r="A5" t="s">
        <v>6</v>
      </c>
      <c r="B5" t="s">
        <v>7</v>
      </c>
      <c r="C5" t="s">
        <v>196</v>
      </c>
      <c r="D5" t="str">
        <f t="shared" si="0"/>
        <v>PORT_KLANG</v>
      </c>
      <c r="E5" t="str" cm="1">
        <f t="array" ref="E5">_xlfn.REDUCE(D5, _xlfn.SEQUENCE(ROWS(Abbreviations!$A$2:$A$11)), _xlfn.LAMBDA(_xlpm.text,_xlpm.i, SUBSTITUTE(_xlpm.text, INDEX(Abbreviations!$A$2:$A$11, _xlpm.i), INDEX(Abbreviations!$B$2:$B$11, _xlpm.i))))</f>
        <v>PORT_KLANG</v>
      </c>
      <c r="F5" t="s">
        <v>334</v>
      </c>
      <c r="G5" t="str">
        <f>B5</f>
        <v>Pulau Indah Bridge</v>
      </c>
      <c r="H5" t="str">
        <f t="shared" si="1"/>
        <v>Pulau Indah Bridge</v>
      </c>
      <c r="I5" s="5">
        <f>(MID(C5,1,2) + MID(C5,3,2)/60 + MID(C5,5,2)/3600) * IF(MID(C5,7,1)="S",-1,1)</f>
        <v>3.0322222222222224</v>
      </c>
      <c r="J5" s="5">
        <f>(MID(C5,9,3) + MID(C5,12,2)/60 + MID(C5,14,2)/3600) * IF(MID(C5,16,1)="W",-1,1)</f>
        <v>101.3611111111111</v>
      </c>
    </row>
    <row r="6" spans="1:10" x14ac:dyDescent="0.25">
      <c r="A6" t="s">
        <v>8</v>
      </c>
      <c r="B6" t="s">
        <v>9</v>
      </c>
      <c r="C6" t="s">
        <v>197</v>
      </c>
      <c r="D6" t="str">
        <f t="shared" si="0"/>
        <v>MORIB</v>
      </c>
      <c r="E6" t="str" cm="1">
        <f t="array" ref="E6">_xlfn.REDUCE(D6, _xlfn.SEQUENCE(ROWS(Abbreviations!$A$2:$A$11)), _xlfn.LAMBDA(_xlpm.text,_xlpm.i, SUBSTITUTE(_xlpm.text, INDEX(Abbreviations!$A$2:$A$11, _xlpm.i), INDEX(Abbreviations!$B$2:$B$11, _xlpm.i))))</f>
        <v>MORIB</v>
      </c>
      <c r="F6" t="s">
        <v>323</v>
      </c>
      <c r="G6" t="str">
        <f>B6</f>
        <v>Golf Course</v>
      </c>
      <c r="H6" t="str">
        <f t="shared" si="1"/>
        <v>Golf Course</v>
      </c>
      <c r="I6" s="5">
        <f>(MID(C6,1,2) + MID(C6,3,2)/60 + MID(C6,5,2)/3600) * IF(MID(C6,7,1)="S",-1,1)</f>
        <v>2.7433333333333332</v>
      </c>
      <c r="J6" s="5">
        <f>(MID(C6,9,3) + MID(C6,12,2)/60 + MID(C6,14,2)/3600) * IF(MID(C6,16,1)="W",-1,1)</f>
        <v>101.44638888888889</v>
      </c>
    </row>
    <row r="7" spans="1:10" x14ac:dyDescent="0.25">
      <c r="A7" t="s">
        <v>10</v>
      </c>
      <c r="B7" t="s">
        <v>11</v>
      </c>
      <c r="C7" t="s">
        <v>198</v>
      </c>
      <c r="D7" t="str">
        <f t="shared" si="0"/>
        <v>TANJUNG_SEPAT</v>
      </c>
      <c r="E7" t="str" cm="1">
        <f t="array" ref="E7">_xlfn.REDUCE(D7, _xlfn.SEQUENCE(ROWS(Abbreviations!$A$2:$A$11)), _xlfn.LAMBDA(_xlpm.text,_xlpm.i, SUBSTITUTE(_xlpm.text, INDEX(Abbreviations!$A$2:$A$11, _xlpm.i), INDEX(Abbreviations!$B$2:$B$11, _xlpm.i))))</f>
        <v>TJ_SEPAT</v>
      </c>
      <c r="F7" t="s">
        <v>335</v>
      </c>
      <c r="G7" t="str">
        <f>B7</f>
        <v>Jetty Tanjung Sepat</v>
      </c>
      <c r="H7" t="str">
        <f t="shared" si="1"/>
        <v>Jetty Tanjung Sepat</v>
      </c>
      <c r="I7" s="5">
        <f>(MID(C7,1,2) + MID(C7,3,2)/60 + MID(C7,5,2)/3600) * IF(MID(C7,7,1)="S",-1,1)</f>
        <v>2.6591666666666667</v>
      </c>
      <c r="J7" s="5">
        <f>(MID(C7,9,3) + MID(C7,12,2)/60 + MID(C7,14,2)/3600) * IF(MID(C7,16,1)="W",-1,1)</f>
        <v>101.55611111111111</v>
      </c>
    </row>
    <row r="8" spans="1:10" x14ac:dyDescent="0.25">
      <c r="A8" t="s">
        <v>12</v>
      </c>
      <c r="B8" t="s">
        <v>13</v>
      </c>
      <c r="C8" t="s">
        <v>199</v>
      </c>
      <c r="D8" t="str">
        <f t="shared" si="0"/>
        <v>TANJUNG_TUAN_(CAPE_RACHARDO)</v>
      </c>
      <c r="E8" t="str" cm="1">
        <f t="array" ref="E8">_xlfn.REDUCE(D8, _xlfn.SEQUENCE(ROWS(Abbreviations!$A$2:$A$11)), _xlfn.LAMBDA(_xlpm.text,_xlpm.i, SUBSTITUTE(_xlpm.text, INDEX(Abbreviations!$A$2:$A$11, _xlpm.i), INDEX(Abbreviations!$B$2:$B$11, _xlpm.i))))</f>
        <v>TJ_TUAN_(CAPE_RACHARDO)</v>
      </c>
      <c r="F8" t="s">
        <v>336</v>
      </c>
      <c r="G8" t="str">
        <f>B8</f>
        <v>Lighthouse</v>
      </c>
      <c r="H8" t="str">
        <f t="shared" si="1"/>
        <v>Lighthouse</v>
      </c>
      <c r="I8" s="5">
        <f>(MID(C8,1,2) + MID(C8,3,2)/60 + MID(C8,5,2)/3600) * IF(MID(C8,7,1)="S",-1,1)</f>
        <v>2.4069444444444446</v>
      </c>
      <c r="J8" s="5">
        <f>(MID(C8,9,3) + MID(C8,12,2)/60 + MID(C8,14,2)/3600) * IF(MID(C8,16,1)="W",-1,1)</f>
        <v>101.85194444444444</v>
      </c>
    </row>
    <row r="9" spans="1:10" x14ac:dyDescent="0.25">
      <c r="A9" t="s">
        <v>14</v>
      </c>
      <c r="B9" t="s">
        <v>15</v>
      </c>
      <c r="C9" t="s">
        <v>200</v>
      </c>
      <c r="D9" t="str">
        <f t="shared" si="0"/>
        <v>SLIM_RIVER</v>
      </c>
      <c r="E9" t="str" cm="1">
        <f t="array" ref="E9">_xlfn.REDUCE(D9, _xlfn.SEQUENCE(ROWS(Abbreviations!$A$2:$A$11)), _xlfn.LAMBDA(_xlpm.text,_xlpm.i, SUBSTITUTE(_xlpm.text, INDEX(Abbreviations!$A$2:$A$11, _xlpm.i), INDEX(Abbreviations!$B$2:$B$11, _xlpm.i))))</f>
        <v>SLIM_RIVER</v>
      </c>
      <c r="F9" t="s">
        <v>337</v>
      </c>
      <c r="G9" t="str">
        <f>B9</f>
        <v>Slim River Hospital</v>
      </c>
      <c r="H9" t="str">
        <f t="shared" si="1"/>
        <v>Slim River Hospital</v>
      </c>
      <c r="I9" s="5">
        <f>(MID(C9,1,2) + MID(C9,3,2)/60 + MID(C9,5,2)/3600) * IF(MID(C9,7,1)="S",-1,1)</f>
        <v>3.8372222222222225</v>
      </c>
      <c r="J9" s="5">
        <f>(MID(C9,9,3) + MID(C9,12,2)/60 + MID(C9,14,2)/3600) * IF(MID(C9,16,1)="W",-1,1)</f>
        <v>101.40416666666667</v>
      </c>
    </row>
    <row r="10" spans="1:10" x14ac:dyDescent="0.25">
      <c r="A10" t="s">
        <v>16</v>
      </c>
      <c r="B10" t="s">
        <v>17</v>
      </c>
      <c r="C10" t="s">
        <v>201</v>
      </c>
      <c r="D10" t="str">
        <f t="shared" si="0"/>
        <v>TANJUNG_MALIM</v>
      </c>
      <c r="E10" t="str" cm="1">
        <f t="array" ref="E10">_xlfn.REDUCE(D10, _xlfn.SEQUENCE(ROWS(Abbreviations!$A$2:$A$11)), _xlfn.LAMBDA(_xlpm.text,_xlpm.i, SUBSTITUTE(_xlpm.text, INDEX(Abbreviations!$A$2:$A$11, _xlpm.i), INDEX(Abbreviations!$B$2:$B$11, _xlpm.i))))</f>
        <v>TJ_MALIM</v>
      </c>
      <c r="F10" t="s">
        <v>338</v>
      </c>
      <c r="G10" t="str">
        <f>B10</f>
        <v>Universiti Perguruan Sultan Idris (UPSI)</v>
      </c>
      <c r="H10" t="str">
        <f t="shared" si="1"/>
        <v>Universiti Perguruan Sult</v>
      </c>
      <c r="I10" s="5">
        <f>(MID(C10,1,2) + MID(C10,3,2)/60 + MID(C10,5,2)/3600) * IF(MID(C10,7,1)="S",-1,1)</f>
        <v>3.6850000000000001</v>
      </c>
      <c r="J10" s="5">
        <f>(MID(C10,9,3) + MID(C10,12,2)/60 + MID(C10,14,2)/3600) * IF(MID(C10,16,1)="W",-1,1)</f>
        <v>101.52388888888889</v>
      </c>
    </row>
    <row r="11" spans="1:10" x14ac:dyDescent="0.25">
      <c r="A11" t="s">
        <v>18</v>
      </c>
      <c r="B11" t="s">
        <v>19</v>
      </c>
      <c r="C11" t="s">
        <v>202</v>
      </c>
      <c r="D11" t="str">
        <f t="shared" si="0"/>
        <v>RAWANG</v>
      </c>
      <c r="E11" t="str" cm="1">
        <f t="array" ref="E11">_xlfn.REDUCE(D11, _xlfn.SEQUENCE(ROWS(Abbreviations!$A$2:$A$11)), _xlfn.LAMBDA(_xlpm.text,_xlpm.i, SUBSTITUTE(_xlpm.text, INDEX(Abbreviations!$A$2:$A$11, _xlpm.i), INDEX(Abbreviations!$B$2:$B$11, _xlpm.i))))</f>
        <v>RAWANG</v>
      </c>
      <c r="F11" t="s">
        <v>324</v>
      </c>
      <c r="G11" t="str">
        <f>B11</f>
        <v>Lafarge plant</v>
      </c>
      <c r="H11" t="str">
        <f t="shared" si="1"/>
        <v>Lafarge plant</v>
      </c>
      <c r="I11" s="5">
        <f>(MID(C11,1,2) + MID(C11,3,2)/60 + MID(C11,5,2)/3600) * IF(MID(C11,7,1)="S",-1,1)</f>
        <v>3.3091666666666666</v>
      </c>
      <c r="J11" s="5">
        <f>(MID(C11,9,3) + MID(C11,12,2)/60 + MID(C11,14,2)/3600) * IF(MID(C11,16,1)="W",-1,1)</f>
        <v>101.57111111111111</v>
      </c>
    </row>
    <row r="12" spans="1:10" x14ac:dyDescent="0.25">
      <c r="A12" t="s">
        <v>20</v>
      </c>
      <c r="B12" t="s">
        <v>21</v>
      </c>
      <c r="C12" t="s">
        <v>203</v>
      </c>
      <c r="D12" t="str">
        <f t="shared" si="0"/>
        <v>BATU_CAVES</v>
      </c>
      <c r="E12" t="str" cm="1">
        <f t="array" ref="E12">_xlfn.REDUCE(D12, _xlfn.SEQUENCE(ROWS(Abbreviations!$A$2:$A$11)), _xlfn.LAMBDA(_xlpm.text,_xlpm.i, SUBSTITUTE(_xlpm.text, INDEX(Abbreviations!$A$2:$A$11, _xlpm.i), INDEX(Abbreviations!$B$2:$B$11, _xlpm.i))))</f>
        <v>BATU_CAVES</v>
      </c>
      <c r="F12" t="s">
        <v>339</v>
      </c>
      <c r="G12" t="str">
        <f>B12</f>
        <v>Hindu Temple</v>
      </c>
      <c r="H12" t="str">
        <f t="shared" si="1"/>
        <v>Hindu Temple</v>
      </c>
      <c r="I12" s="5">
        <f>(MID(C12,1,2) + MID(C12,3,2)/60 + MID(C12,5,2)/3600) * IF(MID(C12,7,1)="S",-1,1)</f>
        <v>3.2375000000000003</v>
      </c>
      <c r="J12" s="5">
        <f>(MID(C12,9,3) + MID(C12,12,2)/60 + MID(C12,14,2)/3600) * IF(MID(C12,16,1)="W",-1,1)</f>
        <v>101.68388888888889</v>
      </c>
    </row>
    <row r="13" spans="1:10" x14ac:dyDescent="0.25">
      <c r="A13" t="s">
        <v>22</v>
      </c>
      <c r="B13" t="s">
        <v>23</v>
      </c>
      <c r="C13" t="s">
        <v>204</v>
      </c>
      <c r="D13" t="str">
        <f t="shared" si="0"/>
        <v>SUNGAI_BESI</v>
      </c>
      <c r="E13" t="str" cm="1">
        <f t="array" ref="E13">_xlfn.REDUCE(D13, _xlfn.SEQUENCE(ROWS(Abbreviations!$A$2:$A$11)), _xlfn.LAMBDA(_xlpm.text,_xlpm.i, SUBSTITUTE(_xlpm.text, INDEX(Abbreviations!$A$2:$A$11, _xlpm.i), INDEX(Abbreviations!$B$2:$B$11, _xlpm.i))))</f>
        <v>SG_BESI</v>
      </c>
      <c r="F13" t="s">
        <v>340</v>
      </c>
      <c r="G13" t="str">
        <f>B13</f>
        <v>Smart Toll Plaza</v>
      </c>
      <c r="H13" t="str">
        <f t="shared" si="1"/>
        <v>Smart Toll Plaza</v>
      </c>
      <c r="I13" s="5">
        <f>(MID(C13,1,2) + MID(C13,3,2)/60 + MID(C13,5,2)/3600) * IF(MID(C13,7,1)="S",-1,1)</f>
        <v>3.108888888888889</v>
      </c>
      <c r="J13" s="5">
        <f>(MID(C13,9,3) + MID(C13,12,2)/60 + MID(C13,14,2)/3600) * IF(MID(C13,16,1)="W",-1,1)</f>
        <v>101.70222222222222</v>
      </c>
    </row>
    <row r="14" spans="1:10" x14ac:dyDescent="0.25">
      <c r="A14" t="s">
        <v>24</v>
      </c>
      <c r="B14" t="s">
        <v>25</v>
      </c>
      <c r="C14" t="s">
        <v>205</v>
      </c>
      <c r="D14" t="str">
        <f t="shared" si="0"/>
        <v>KAJANG</v>
      </c>
      <c r="E14" t="str" cm="1">
        <f t="array" ref="E14">_xlfn.REDUCE(D14, _xlfn.SEQUENCE(ROWS(Abbreviations!$A$2:$A$11)), _xlfn.LAMBDA(_xlpm.text,_xlpm.i, SUBSTITUTE(_xlpm.text, INDEX(Abbreviations!$A$2:$A$11, _xlpm.i), INDEX(Abbreviations!$B$2:$B$11, _xlpm.i))))</f>
        <v>KAJANG</v>
      </c>
      <c r="F14" t="s">
        <v>325</v>
      </c>
      <c r="G14" t="str">
        <f>B14</f>
        <v>Stadium</v>
      </c>
      <c r="H14" t="str">
        <f t="shared" si="1"/>
        <v>Stadium</v>
      </c>
      <c r="I14" s="5">
        <f>(MID(C14,1,2) + MID(C14,3,2)/60 + MID(C14,5,2)/3600) * IF(MID(C14,7,1)="S",-1,1)</f>
        <v>2.9944444444444445</v>
      </c>
      <c r="J14" s="5">
        <f>(MID(C14,9,3) + MID(C14,12,2)/60 + MID(C14,14,2)/3600) * IF(MID(C14,16,1)="W",-1,1)</f>
        <v>101.78694444444444</v>
      </c>
    </row>
    <row r="15" spans="1:10" x14ac:dyDescent="0.25">
      <c r="A15" t="s">
        <v>26</v>
      </c>
      <c r="B15" t="s">
        <v>27</v>
      </c>
      <c r="C15" t="s">
        <v>206</v>
      </c>
      <c r="D15" t="str">
        <f t="shared" si="0"/>
        <v>SEREMBAN</v>
      </c>
      <c r="E15" t="str" cm="1">
        <f t="array" ref="E15">_xlfn.REDUCE(D15, _xlfn.SEQUENCE(ROWS(Abbreviations!$A$2:$A$11)), _xlfn.LAMBDA(_xlpm.text,_xlpm.i, SUBSTITUTE(_xlpm.text, INDEX(Abbreviations!$A$2:$A$11, _xlpm.i), INDEX(Abbreviations!$B$2:$B$11, _xlpm.i))))</f>
        <v>SEREMBAN</v>
      </c>
      <c r="F15" t="s">
        <v>341</v>
      </c>
      <c r="G15" t="str">
        <f>B15</f>
        <v>Seremban Mosque</v>
      </c>
      <c r="H15" t="str">
        <f t="shared" si="1"/>
        <v>Seremban Mosque</v>
      </c>
      <c r="I15" s="5">
        <f>(MID(C15,1,2) + MID(C15,3,2)/60 + MID(C15,5,2)/3600) * IF(MID(C15,7,1)="S",-1,1)</f>
        <v>2.7219444444444445</v>
      </c>
      <c r="J15" s="5">
        <f>(MID(C15,9,3) + MID(C15,12,2)/60 + MID(C15,14,2)/3600) * IF(MID(C15,16,1)="W",-1,1)</f>
        <v>101.94222222222223</v>
      </c>
    </row>
    <row r="16" spans="1:10" x14ac:dyDescent="0.25">
      <c r="A16" t="s">
        <v>28</v>
      </c>
      <c r="B16" t="s">
        <v>29</v>
      </c>
      <c r="C16" t="s">
        <v>207</v>
      </c>
      <c r="D16" t="str">
        <f t="shared" si="0"/>
        <v>BENTONG</v>
      </c>
      <c r="E16" t="str" cm="1">
        <f t="array" ref="E16">_xlfn.REDUCE(D16, _xlfn.SEQUENCE(ROWS(Abbreviations!$A$2:$A$11)), _xlfn.LAMBDA(_xlpm.text,_xlpm.i, SUBSTITUTE(_xlpm.text, INDEX(Abbreviations!$A$2:$A$11, _xlpm.i), INDEX(Abbreviations!$B$2:$B$11, _xlpm.i))))</f>
        <v>BENTONG</v>
      </c>
      <c r="F16" t="s">
        <v>342</v>
      </c>
      <c r="G16" t="str">
        <f>B16</f>
        <v>Dataran Bentong</v>
      </c>
      <c r="H16" t="str">
        <f t="shared" si="1"/>
        <v>Dataran Bentong</v>
      </c>
      <c r="I16" s="5">
        <f>(MID(C16,1,2) + MID(C16,3,2)/60 + MID(C16,5,2)/3600) * IF(MID(C16,7,1)="S",-1,1)</f>
        <v>3.5291666666666668</v>
      </c>
      <c r="J16" s="5">
        <f>(MID(C16,9,3) + MID(C16,12,2)/60 + MID(C16,14,2)/3600) * IF(MID(C16,16,1)="W",-1,1)</f>
        <v>101.90472222222223</v>
      </c>
    </row>
    <row r="17" spans="1:10" x14ac:dyDescent="0.25">
      <c r="A17" t="s">
        <v>30</v>
      </c>
      <c r="B17" t="s">
        <v>31</v>
      </c>
      <c r="C17" t="s">
        <v>208</v>
      </c>
      <c r="D17" t="str">
        <f t="shared" si="0"/>
        <v>RANTAU</v>
      </c>
      <c r="E17" t="str" cm="1">
        <f t="array" ref="E17">_xlfn.REDUCE(D17, _xlfn.SEQUENCE(ROWS(Abbreviations!$A$2:$A$11)), _xlfn.LAMBDA(_xlpm.text,_xlpm.i, SUBSTITUTE(_xlpm.text, INDEX(Abbreviations!$A$2:$A$11, _xlpm.i), INDEX(Abbreviations!$B$2:$B$11, _xlpm.i))))</f>
        <v>RANTAU</v>
      </c>
      <c r="F17" t="s">
        <v>326</v>
      </c>
      <c r="G17" t="str">
        <f>B17</f>
        <v>TNB Substation</v>
      </c>
      <c r="H17" t="str">
        <f t="shared" si="1"/>
        <v>TNB Substation</v>
      </c>
      <c r="I17" s="5">
        <f>(MID(C17,1,2) + MID(C17,3,2)/60 + MID(C17,5,2)/3600) * IF(MID(C17,7,1)="S",-1,1)</f>
        <v>2.5947222222222224</v>
      </c>
      <c r="J17" s="5">
        <f>(MID(C17,9,3) + MID(C17,12,2)/60 + MID(C17,14,2)/3600) * IF(MID(C17,16,1)="W",-1,1)</f>
        <v>101.96194444444444</v>
      </c>
    </row>
    <row r="18" spans="1:10" x14ac:dyDescent="0.25">
      <c r="A18" t="s">
        <v>32</v>
      </c>
      <c r="B18" t="s">
        <v>33</v>
      </c>
      <c r="C18" t="s">
        <v>209</v>
      </c>
      <c r="D18" t="str">
        <f t="shared" si="0"/>
        <v>KUALA_KELAWANG</v>
      </c>
      <c r="E18" t="str" cm="1">
        <f t="array" ref="E18">_xlfn.REDUCE(D18, _xlfn.SEQUENCE(ROWS(Abbreviations!$A$2:$A$11)), _xlfn.LAMBDA(_xlpm.text,_xlpm.i, SUBSTITUTE(_xlpm.text, INDEX(Abbreviations!$A$2:$A$11, _xlpm.i), INDEX(Abbreviations!$B$2:$B$11, _xlpm.i))))</f>
        <v>KUALA_KELAWANG</v>
      </c>
      <c r="F18" t="s">
        <v>343</v>
      </c>
      <c r="G18" t="str">
        <f>B18</f>
        <v>Jelebu District Council</v>
      </c>
      <c r="H18" t="str">
        <f t="shared" si="1"/>
        <v>Jelebu District Council</v>
      </c>
      <c r="I18" s="5">
        <f>(MID(C18,1,2) + MID(C18,3,2)/60 + MID(C18,5,2)/3600) * IF(MID(C18,7,1)="S",-1,1)</f>
        <v>2.9408333333333334</v>
      </c>
      <c r="J18" s="5">
        <f>(MID(C18,9,3) + MID(C18,12,2)/60 + MID(C18,14,2)/3600) * IF(MID(C18,16,1)="W",-1,1)</f>
        <v>102.06944444444444</v>
      </c>
    </row>
    <row r="19" spans="1:10" x14ac:dyDescent="0.25">
      <c r="A19" t="s">
        <v>34</v>
      </c>
      <c r="B19" t="s">
        <v>35</v>
      </c>
      <c r="C19" t="s">
        <v>210</v>
      </c>
      <c r="D19" t="str">
        <f t="shared" si="0"/>
        <v>PETALING_JAYA</v>
      </c>
      <c r="E19" t="str" cm="1">
        <f t="array" ref="E19">_xlfn.REDUCE(D19, _xlfn.SEQUENCE(ROWS(Abbreviations!$A$2:$A$11)), _xlfn.LAMBDA(_xlpm.text,_xlpm.i, SUBSTITUTE(_xlpm.text, INDEX(Abbreviations!$A$2:$A$11, _xlpm.i), INDEX(Abbreviations!$B$2:$B$11, _xlpm.i))))</f>
        <v>PETALING_JAYA</v>
      </c>
      <c r="F19" t="s">
        <v>344</v>
      </c>
      <c r="G19" t="str">
        <f>B19</f>
        <v>Menara TM</v>
      </c>
      <c r="H19" t="str">
        <f t="shared" si="1"/>
        <v>Menara TM</v>
      </c>
      <c r="I19" s="5">
        <f>(MID(C19,1,2) + MID(C19,3,2)/60 + MID(C19,5,2)/3600) * IF(MID(C19,7,1)="S",-1,1)</f>
        <v>3.1158333333333332</v>
      </c>
      <c r="J19" s="5">
        <f>(MID(C19,9,3) + MID(C19,12,2)/60 + MID(C19,14,2)/3600) * IF(MID(C19,16,1)="W",-1,1)</f>
        <v>101.66555555555556</v>
      </c>
    </row>
    <row r="20" spans="1:10" x14ac:dyDescent="0.25">
      <c r="A20" t="s">
        <v>36</v>
      </c>
      <c r="B20" t="s">
        <v>37</v>
      </c>
      <c r="C20" t="s">
        <v>211</v>
      </c>
      <c r="D20" t="str">
        <f t="shared" si="0"/>
        <v>BUKIT_LANJAN</v>
      </c>
      <c r="E20" t="str" cm="1">
        <f t="array" ref="E20">_xlfn.REDUCE(D20, _xlfn.SEQUENCE(ROWS(Abbreviations!$A$2:$A$11)), _xlfn.LAMBDA(_xlpm.text,_xlpm.i, SUBSTITUTE(_xlpm.text, INDEX(Abbreviations!$A$2:$A$11, _xlpm.i), INDEX(Abbreviations!$B$2:$B$11, _xlpm.i))))</f>
        <v>BT_LANJAN</v>
      </c>
      <c r="F20" t="s">
        <v>345</v>
      </c>
      <c r="G20" t="str">
        <f>B20</f>
        <v>Tol Sungai Penchala</v>
      </c>
      <c r="H20" t="str">
        <f t="shared" si="1"/>
        <v>Tol Sungai Penchala</v>
      </c>
      <c r="I20" s="5">
        <f>(MID(C20,1,2) + MID(C20,3,2)/60 + MID(C20,5,2)/3600) * IF(MID(C20,7,1)="S",-1,1)</f>
        <v>3.1774999999999998</v>
      </c>
      <c r="J20" s="5">
        <f>(MID(C20,9,3) + MID(C20,12,2)/60 + MID(C20,14,2)/3600) * IF(MID(C20,16,1)="W",-1,1)</f>
        <v>101.61944444444444</v>
      </c>
    </row>
    <row r="21" spans="1:10" x14ac:dyDescent="0.25">
      <c r="A21" t="s">
        <v>38</v>
      </c>
      <c r="B21" t="s">
        <v>39</v>
      </c>
      <c r="C21" t="s">
        <v>212</v>
      </c>
      <c r="D21" t="str">
        <f t="shared" si="0"/>
        <v>PUNCAK_PERDANA</v>
      </c>
      <c r="E21" t="str" cm="1">
        <f t="array" ref="E21">_xlfn.REDUCE(D21, _xlfn.SEQUENCE(ROWS(Abbreviations!$A$2:$A$11)), _xlfn.LAMBDA(_xlpm.text,_xlpm.i, SUBSTITUTE(_xlpm.text, INDEX(Abbreviations!$A$2:$A$11, _xlpm.i), INDEX(Abbreviations!$B$2:$B$11, _xlpm.i))))</f>
        <v>PUNCAK_PERDANA</v>
      </c>
      <c r="F21" t="s">
        <v>346</v>
      </c>
      <c r="G21" t="str">
        <f>B21</f>
        <v>Puncak Perdana Interchange</v>
      </c>
      <c r="H21" t="str">
        <f t="shared" si="1"/>
        <v>Puncak Perdana Interchang</v>
      </c>
      <c r="I21" s="5">
        <f>(MID(C21,1,2) + MID(C21,3,2)/60 + MID(C21,5,2)/3600) * IF(MID(C21,7,1)="S",-1,1)</f>
        <v>3.1344444444444446</v>
      </c>
      <c r="J21" s="5">
        <f>(MID(C21,9,3) + MID(C21,12,2)/60 + MID(C21,14,2)/3600) * IF(MID(C21,16,1)="W",-1,1)</f>
        <v>101.49611111111111</v>
      </c>
    </row>
    <row r="22" spans="1:10" x14ac:dyDescent="0.25">
      <c r="A22" t="s">
        <v>40</v>
      </c>
      <c r="B22" t="s">
        <v>41</v>
      </c>
      <c r="C22" t="s">
        <v>213</v>
      </c>
      <c r="D22" t="str">
        <f t="shared" si="0"/>
        <v>SHAH_ALAM</v>
      </c>
      <c r="E22" t="str" cm="1">
        <f t="array" ref="E22">_xlfn.REDUCE(D22, _xlfn.SEQUENCE(ROWS(Abbreviations!$A$2:$A$11)), _xlfn.LAMBDA(_xlpm.text,_xlpm.i, SUBSTITUTE(_xlpm.text, INDEX(Abbreviations!$A$2:$A$11, _xlpm.i), INDEX(Abbreviations!$B$2:$B$11, _xlpm.i))))</f>
        <v>SHAH_ALAM</v>
      </c>
      <c r="F22" t="s">
        <v>397</v>
      </c>
      <c r="G22" t="str">
        <f>B22</f>
        <v>Sultan Salahudin Abdul Aziz Mosque</v>
      </c>
      <c r="H22" t="str">
        <f t="shared" si="1"/>
        <v>Sultan Salahudin Abdul Az</v>
      </c>
      <c r="I22" s="5">
        <f>(MID(C22,1,2) + MID(C22,3,2)/60 + MID(C22,5,2)/3600) * IF(MID(C22,7,1)="S",-1,1)</f>
        <v>3.0788888888888892</v>
      </c>
      <c r="J22" s="5">
        <f>(MID(C22,9,3) + MID(C22,12,2)/60 + MID(C22,14,2)/3600) * IF(MID(C22,16,1)="W",-1,1)</f>
        <v>101.52055555555556</v>
      </c>
    </row>
    <row r="23" spans="1:10" x14ac:dyDescent="0.25">
      <c r="A23" t="s">
        <v>42</v>
      </c>
      <c r="B23" t="s">
        <v>43</v>
      </c>
      <c r="C23" t="s">
        <v>214</v>
      </c>
      <c r="D23" t="str">
        <f t="shared" si="0"/>
        <v>KUANG</v>
      </c>
      <c r="E23" t="str" cm="1">
        <f t="array" ref="E23">_xlfn.REDUCE(D23, _xlfn.SEQUENCE(ROWS(Abbreviations!$A$2:$A$11)), _xlfn.LAMBDA(_xlpm.text,_xlpm.i, SUBSTITUTE(_xlpm.text, INDEX(Abbreviations!$A$2:$A$11, _xlpm.i), INDEX(Abbreviations!$B$2:$B$11, _xlpm.i))))</f>
        <v>KUANG</v>
      </c>
      <c r="F23" t="s">
        <v>327</v>
      </c>
      <c r="G23" t="str">
        <f>B23</f>
        <v>Guthrie – LATAR Expressway Kuang Exit</v>
      </c>
      <c r="H23" t="str">
        <f t="shared" si="1"/>
        <v>Guthrie – LATAR Expresswa</v>
      </c>
      <c r="I23" s="5">
        <f>(MID(C23,1,2) + MID(C23,3,2)/60 + MID(C23,5,2)/3600) * IF(MID(C23,7,1)="S",-1,1)</f>
        <v>3.2694444444444444</v>
      </c>
      <c r="J23" s="5">
        <f>(MID(C23,9,3) + MID(C23,12,2)/60 + MID(C23,14,2)/3600) * IF(MID(C23,16,1)="W",-1,1)</f>
        <v>101.54583333333333</v>
      </c>
    </row>
    <row r="24" spans="1:10" x14ac:dyDescent="0.25">
      <c r="A24" t="s">
        <v>44</v>
      </c>
      <c r="B24" t="s">
        <v>45</v>
      </c>
      <c r="C24" t="s">
        <v>215</v>
      </c>
      <c r="D24" t="str">
        <f t="shared" si="0"/>
        <v>NIBONG_GILA</v>
      </c>
      <c r="E24" t="str" cm="1">
        <f t="array" ref="E24">_xlfn.REDUCE(D24, _xlfn.SEQUENCE(ROWS(Abbreviations!$A$2:$A$11)), _xlfn.LAMBDA(_xlpm.text,_xlpm.i, SUBSTITUTE(_xlpm.text, INDEX(Abbreviations!$A$2:$A$11, _xlpm.i), INDEX(Abbreviations!$B$2:$B$11, _xlpm.i))))</f>
        <v>NIBONG_GILA</v>
      </c>
      <c r="F24" t="s">
        <v>347</v>
      </c>
      <c r="G24" t="str">
        <f>B24</f>
        <v>Met Weather Radar</v>
      </c>
      <c r="H24" t="str">
        <f t="shared" si="1"/>
        <v>Met Weather Radar</v>
      </c>
      <c r="I24" s="5">
        <f>(MID(C24,1,2) + MID(C24,3,2)/60 + MID(C24,5,2)/3600) * IF(MID(C24,7,1)="S",-1,1)</f>
        <v>3.1447222222222222</v>
      </c>
      <c r="J24" s="5">
        <f>(MID(C24,9,3) + MID(C24,12,2)/60 + MID(C24,14,2)/3600) * IF(MID(C24,16,1)="W",-1,1)</f>
        <v>101.55861111111111</v>
      </c>
    </row>
    <row r="25" spans="1:10" x14ac:dyDescent="0.25">
      <c r="A25" t="s">
        <v>46</v>
      </c>
      <c r="B25" t="s">
        <v>47</v>
      </c>
      <c r="C25" t="s">
        <v>216</v>
      </c>
      <c r="D25" t="str">
        <f t="shared" si="0"/>
        <v>TITIWANGSA</v>
      </c>
      <c r="E25" t="str" cm="1">
        <f t="array" ref="E25">_xlfn.REDUCE(D25, _xlfn.SEQUENCE(ROWS(Abbreviations!$A$2:$A$11)), _xlfn.LAMBDA(_xlpm.text,_xlpm.i, SUBSTITUTE(_xlpm.text, INDEX(Abbreviations!$A$2:$A$11, _xlpm.i), INDEX(Abbreviations!$B$2:$B$11, _xlpm.i))))</f>
        <v>TITIWANGSA</v>
      </c>
      <c r="F25" t="s">
        <v>348</v>
      </c>
      <c r="G25" t="str">
        <f>B25</f>
        <v>Titiwangsa Lake</v>
      </c>
      <c r="H25" t="str">
        <f t="shared" si="1"/>
        <v>Titiwangsa Lake</v>
      </c>
      <c r="I25" s="5">
        <f>(MID(C25,1,2) + MID(C25,3,2)/60 + MID(C25,5,2)/3600) * IF(MID(C25,7,1)="S",-1,1)</f>
        <v>3.1774999999999998</v>
      </c>
      <c r="J25" s="5">
        <f>(MID(C25,9,3) + MID(C25,12,2)/60 + MID(C25,14,2)/3600) * IF(MID(C25,16,1)="W",-1,1)</f>
        <v>101.70444444444445</v>
      </c>
    </row>
    <row r="26" spans="1:10" x14ac:dyDescent="0.25">
      <c r="A26" t="s">
        <v>48</v>
      </c>
      <c r="B26" t="s">
        <v>49</v>
      </c>
      <c r="C26" t="s">
        <v>217</v>
      </c>
      <c r="D26" t="str">
        <f t="shared" si="0"/>
        <v>SEGAMBUT</v>
      </c>
      <c r="E26" t="str" cm="1">
        <f t="array" ref="E26">_xlfn.REDUCE(D26, _xlfn.SEQUENCE(ROWS(Abbreviations!$A$2:$A$11)), _xlfn.LAMBDA(_xlpm.text,_xlpm.i, SUBSTITUTE(_xlpm.text, INDEX(Abbreviations!$A$2:$A$11, _xlpm.i), INDEX(Abbreviations!$B$2:$B$11, _xlpm.i))))</f>
        <v>SEGAMBUT</v>
      </c>
      <c r="F26" t="s">
        <v>349</v>
      </c>
      <c r="G26" t="str">
        <f>B26</f>
        <v>DUKE Jalan Kuching Interchange</v>
      </c>
      <c r="H26" t="str">
        <f t="shared" si="1"/>
        <v>DUKE Jalan Kuching Interc</v>
      </c>
      <c r="I26" s="5">
        <f>(MID(C26,1,2) + MID(C26,3,2)/60 + MID(C26,5,2)/3600) * IF(MID(C26,7,1)="S",-1,1)</f>
        <v>3.1919444444444443</v>
      </c>
      <c r="J26" s="5">
        <f>(MID(C26,9,3) + MID(C26,12,2)/60 + MID(C26,14,2)/3600) * IF(MID(C26,16,1)="W",-1,1)</f>
        <v>101.66888888888889</v>
      </c>
    </row>
    <row r="27" spans="1:10" x14ac:dyDescent="0.25">
      <c r="A27" t="s">
        <v>50</v>
      </c>
      <c r="B27" t="s">
        <v>50</v>
      </c>
      <c r="C27" t="s">
        <v>51</v>
      </c>
      <c r="D27" t="str">
        <f>SUBSTITUTE(UPPER(A27), " ", "_")</f>
        <v>UTM_MOSQUE</v>
      </c>
      <c r="E27" t="str" cm="1">
        <f t="array" ref="E27">_xlfn.REDUCE(D27, _xlfn.SEQUENCE(ROWS(Abbreviations!$A$2:$A$11)), _xlfn.LAMBDA(_xlpm.text,_xlpm.i, SUBSTITUTE(_xlpm.text, INDEX(Abbreviations!$A$2:$A$11, _xlpm.i), INDEX(Abbreviations!$B$2:$B$11, _xlpm.i))))</f>
        <v>UTM_MOSQUE</v>
      </c>
      <c r="F27" t="s">
        <v>299</v>
      </c>
      <c r="G27" t="str">
        <f>B27</f>
        <v>UTM Mosque</v>
      </c>
      <c r="H27" t="str">
        <f t="shared" si="1"/>
        <v>UTM Mosque</v>
      </c>
      <c r="I27" s="5">
        <f>(MID(C27,1,2) + MID(C27,3,2)/60 + MID(C27,5,2)/3600) * IF(MID(C27,7,1)="S",-1,1)</f>
        <v>1.5591666666666668</v>
      </c>
      <c r="J27" s="5">
        <f>(MID(C27,9,3) + MID(C27,12,2)/60 + MID(C27,14,2)/3600) * IF(MID(C27,16,1)="W",-1,1)</f>
        <v>103.6375</v>
      </c>
    </row>
    <row r="28" spans="1:10" x14ac:dyDescent="0.25">
      <c r="A28" t="s">
        <v>52</v>
      </c>
      <c r="B28" t="s">
        <v>52</v>
      </c>
      <c r="C28" t="s">
        <v>53</v>
      </c>
      <c r="D28" t="str">
        <f t="shared" ref="D28:D91" si="2">SUBSTITUTE(UPPER(A28), " ", "_")</f>
        <v>BENUT</v>
      </c>
      <c r="E28" t="str" cm="1">
        <f t="array" ref="E28">_xlfn.REDUCE(D28, _xlfn.SEQUENCE(ROWS(Abbreviations!$A$2:$A$11)), _xlfn.LAMBDA(_xlpm.text,_xlpm.i, SUBSTITUTE(_xlpm.text, INDEX(Abbreviations!$A$2:$A$11, _xlpm.i), INDEX(Abbreviations!$B$2:$B$11, _xlpm.i))))</f>
        <v>BENUT</v>
      </c>
      <c r="F28" t="s">
        <v>298</v>
      </c>
      <c r="G28" t="str">
        <f>B28</f>
        <v>Benut</v>
      </c>
      <c r="H28" t="str">
        <f t="shared" si="1"/>
        <v>Benut</v>
      </c>
      <c r="I28" s="5">
        <f>(MID(C28,1,2) + MID(C28,3,2)/60 + MID(C28,5,2)/3600) * IF(MID(C28,7,1)="S",-1,1)</f>
        <v>1.6441666666666666</v>
      </c>
      <c r="J28" s="5">
        <f>(MID(C28,9,3) + MID(C28,12,2)/60 + MID(C28,14,2)/3600) * IF(MID(C28,16,1)="W",-1,1)</f>
        <v>103.25944444444444</v>
      </c>
    </row>
    <row r="29" spans="1:10" x14ac:dyDescent="0.25">
      <c r="A29" t="s">
        <v>54</v>
      </c>
      <c r="B29" t="s">
        <v>54</v>
      </c>
      <c r="C29" t="s">
        <v>55</v>
      </c>
      <c r="D29" t="str">
        <f t="shared" si="2"/>
        <v>KULAI_TOL_PLAZA</v>
      </c>
      <c r="E29" t="str" cm="1">
        <f t="array" ref="E29">_xlfn.REDUCE(D29, _xlfn.SEQUENCE(ROWS(Abbreviations!$A$2:$A$11)), _xlfn.LAMBDA(_xlpm.text,_xlpm.i, SUBSTITUTE(_xlpm.text, INDEX(Abbreviations!$A$2:$A$11, _xlpm.i), INDEX(Abbreviations!$B$2:$B$11, _xlpm.i))))</f>
        <v>KULAI_TOL_PLAZA</v>
      </c>
      <c r="F29" t="s">
        <v>288</v>
      </c>
      <c r="G29" t="str">
        <f>B29</f>
        <v>Kulai Tol Plaza</v>
      </c>
      <c r="H29" t="str">
        <f t="shared" si="1"/>
        <v>Kulai Tol Plaza</v>
      </c>
      <c r="I29" s="5">
        <f>(MID(C29,1,2) + MID(C29,3,2)/60 + MID(C29,5,2)/3600) * IF(MID(C29,7,1)="S",-1,1)</f>
        <v>1.65</v>
      </c>
      <c r="J29" s="5">
        <f>(MID(C29,9,3) + MID(C29,12,2)/60 + MID(C29,14,2)/3600) * IF(MID(C29,16,1)="W",-1,1)</f>
        <v>103.55499999999999</v>
      </c>
    </row>
    <row r="30" spans="1:10" x14ac:dyDescent="0.25">
      <c r="A30" t="s">
        <v>56</v>
      </c>
      <c r="B30" t="s">
        <v>56</v>
      </c>
      <c r="C30" t="s">
        <v>57</v>
      </c>
      <c r="D30" t="str">
        <f t="shared" si="2"/>
        <v>EAST_OF_JOHOR_BAHRU_AIRFIELD</v>
      </c>
      <c r="E30" t="str" cm="1">
        <f t="array" ref="E30">_xlfn.REDUCE(D30, _xlfn.SEQUENCE(ROWS(Abbreviations!$A$2:$A$11)), _xlfn.LAMBDA(_xlpm.text,_xlpm.i, SUBSTITUTE(_xlpm.text, INDEX(Abbreviations!$A$2:$A$11, _xlpm.i), INDEX(Abbreviations!$B$2:$B$11, _xlpm.i))))</f>
        <v>EAST_JOHOR_BAHRU_AIRFIELD</v>
      </c>
      <c r="F30" t="s">
        <v>290</v>
      </c>
      <c r="G30" t="str">
        <f>B30</f>
        <v>East of Johor Bahru Airfield</v>
      </c>
      <c r="H30" t="str">
        <f t="shared" si="1"/>
        <v>East of Johor Bahru Airfi</v>
      </c>
      <c r="I30" s="5">
        <f>(MID(C30,1,2) + MID(C30,3,2)/60 + MID(C30,5,2)/3600) * IF(MID(C30,7,1)="S",-1,1)</f>
        <v>1.6680555555555554</v>
      </c>
      <c r="J30" s="5">
        <f>(MID(C30,9,3) + MID(C30,12,2)/60 + MID(C30,14,2)/3600) * IF(MID(C30,16,1)="W",-1,1)</f>
        <v>103.71638888888889</v>
      </c>
    </row>
    <row r="31" spans="1:10" x14ac:dyDescent="0.25">
      <c r="A31" t="s">
        <v>58</v>
      </c>
      <c r="B31" t="s">
        <v>58</v>
      </c>
      <c r="C31" t="s">
        <v>59</v>
      </c>
      <c r="D31" t="str">
        <f t="shared" si="2"/>
        <v>KOTA_TINGGI_BRIDGE</v>
      </c>
      <c r="E31" t="str" cm="1">
        <f t="array" ref="E31">_xlfn.REDUCE(D31, _xlfn.SEQUENCE(ROWS(Abbreviations!$A$2:$A$11)), _xlfn.LAMBDA(_xlpm.text,_xlpm.i, SUBSTITUTE(_xlpm.text, INDEX(Abbreviations!$A$2:$A$11, _xlpm.i), INDEX(Abbreviations!$B$2:$B$11, _xlpm.i))))</f>
        <v>KOTA_TINGGI_BRIDGE</v>
      </c>
      <c r="F31" t="s">
        <v>291</v>
      </c>
      <c r="G31" t="str">
        <f>B31</f>
        <v>Kota Tinggi Bridge</v>
      </c>
      <c r="H31" t="str">
        <f t="shared" si="1"/>
        <v>Kota Tinggi Bridge</v>
      </c>
      <c r="I31" s="5">
        <f>(MID(C31,1,2) + MID(C31,3,2)/60 + MID(C31,5,2)/3600) * IF(MID(C31,7,1)="S",-1,1)</f>
        <v>1.7288888888888889</v>
      </c>
      <c r="J31" s="5">
        <f>(MID(C31,9,3) + MID(C31,12,2)/60 + MID(C31,14,2)/3600) * IF(MID(C31,16,1)="W",-1,1)</f>
        <v>103.90166666666667</v>
      </c>
    </row>
    <row r="32" spans="1:10" x14ac:dyDescent="0.25">
      <c r="A32" t="s">
        <v>270</v>
      </c>
      <c r="B32" t="s">
        <v>270</v>
      </c>
      <c r="C32" t="s">
        <v>60</v>
      </c>
      <c r="D32" t="str">
        <f t="shared" si="2"/>
        <v>EAST_OF_KG_SG_TIRAM</v>
      </c>
      <c r="E32" t="str" cm="1">
        <f t="array" ref="E32">_xlfn.REDUCE(D32, _xlfn.SEQUENCE(ROWS(Abbreviations!$A$2:$A$11)), _xlfn.LAMBDA(_xlpm.text,_xlpm.i, SUBSTITUTE(_xlpm.text, INDEX(Abbreviations!$A$2:$A$11, _xlpm.i), INDEX(Abbreviations!$B$2:$B$11, _xlpm.i))))</f>
        <v>EAST_KG_SG_TIRAM</v>
      </c>
      <c r="F32" t="s">
        <v>285</v>
      </c>
      <c r="G32" t="str">
        <f>B32</f>
        <v>East of Kg Sg Tiram</v>
      </c>
      <c r="H32" t="str">
        <f t="shared" si="1"/>
        <v>East of Kg Sg Tiram</v>
      </c>
      <c r="I32" s="5">
        <f>(MID(C32,1,2) + MID(C32,3,2)/60 + MID(C32,5,2)/3600) * IF(MID(C32,7,1)="S",-1,1)</f>
        <v>1.5833333333333335</v>
      </c>
      <c r="J32" s="5">
        <f>(MID(C32,9,3) + MID(C32,12,2)/60 + MID(C32,14,2)/3600) * IF(MID(C32,16,1)="W",-1,1)</f>
        <v>103.91666666666667</v>
      </c>
    </row>
    <row r="33" spans="1:10" x14ac:dyDescent="0.25">
      <c r="A33" t="s">
        <v>61</v>
      </c>
      <c r="B33" t="s">
        <v>61</v>
      </c>
      <c r="C33" t="s">
        <v>62</v>
      </c>
      <c r="D33" t="str">
        <f t="shared" si="2"/>
        <v>EAST_OF_JOHOR_BAHRU_TOWN</v>
      </c>
      <c r="E33" t="str" cm="1">
        <f t="array" ref="E33">_xlfn.REDUCE(D33, _xlfn.SEQUENCE(ROWS(Abbreviations!$A$2:$A$11)), _xlfn.LAMBDA(_xlpm.text,_xlpm.i, SUBSTITUTE(_xlpm.text, INDEX(Abbreviations!$A$2:$A$11, _xlpm.i), INDEX(Abbreviations!$B$2:$B$11, _xlpm.i))))</f>
        <v>EAST_JOHOR_BAHRU_TOWN</v>
      </c>
      <c r="F33" t="s">
        <v>287</v>
      </c>
      <c r="G33" t="str">
        <f>B33</f>
        <v>East of Johor Bahru Town</v>
      </c>
      <c r="H33" t="str">
        <f t="shared" si="1"/>
        <v>East of Johor Bahru Town</v>
      </c>
      <c r="I33" s="5">
        <f>(MID(C33,1,2) + MID(C33,3,2)/60 + MID(C33,5,2)/3600) * IF(MID(C33,7,1)="S",-1,1)</f>
        <v>1.5038888888888888</v>
      </c>
      <c r="J33" s="5">
        <f>(MID(C33,9,3) + MID(C33,12,2)/60 + MID(C33,14,2)/3600) * IF(MID(C33,16,1)="W",-1,1)</f>
        <v>103.86499999999999</v>
      </c>
    </row>
    <row r="34" spans="1:10" x14ac:dyDescent="0.25">
      <c r="A34" t="s">
        <v>63</v>
      </c>
      <c r="B34" t="s">
        <v>63</v>
      </c>
      <c r="C34" t="s">
        <v>64</v>
      </c>
      <c r="D34" t="str">
        <f t="shared" si="2"/>
        <v>FELDA_ULU_TEBRAU</v>
      </c>
      <c r="E34" t="str" cm="1">
        <f t="array" ref="E34">_xlfn.REDUCE(D34, _xlfn.SEQUENCE(ROWS(Abbreviations!$A$2:$A$11)), _xlfn.LAMBDA(_xlpm.text,_xlpm.i, SUBSTITUTE(_xlpm.text, INDEX(Abbreviations!$A$2:$A$11, _xlpm.i), INDEX(Abbreviations!$B$2:$B$11, _xlpm.i))))</f>
        <v>FELDA_ULU_TEBRAU</v>
      </c>
      <c r="F34" t="s">
        <v>289</v>
      </c>
      <c r="G34" t="str">
        <f>B34</f>
        <v>Felda Ulu Tebrau</v>
      </c>
      <c r="H34" t="str">
        <f t="shared" si="1"/>
        <v>Felda Ulu Tebrau</v>
      </c>
      <c r="I34" s="5">
        <f>(MID(C34,1,2) + MID(C34,3,2)/60 + MID(C34,5,2)/3600) * IF(MID(C34,7,1)="S",-1,1)</f>
        <v>1.6308333333333334</v>
      </c>
      <c r="J34" s="5">
        <f>(MID(C34,9,3) + MID(C34,12,2)/60 + MID(C34,14,2)/3600) * IF(MID(C34,16,1)="W",-1,1)</f>
        <v>103.75277777777778</v>
      </c>
    </row>
    <row r="35" spans="1:10" x14ac:dyDescent="0.25">
      <c r="A35" t="s">
        <v>65</v>
      </c>
      <c r="B35" t="s">
        <v>65</v>
      </c>
      <c r="C35" t="s">
        <v>66</v>
      </c>
      <c r="D35" t="str">
        <f t="shared" si="2"/>
        <v>TEBRAU_CITY_MALL</v>
      </c>
      <c r="E35" t="str" cm="1">
        <f t="array" ref="E35">_xlfn.REDUCE(D35, _xlfn.SEQUENCE(ROWS(Abbreviations!$A$2:$A$11)), _xlfn.LAMBDA(_xlpm.text,_xlpm.i, SUBSTITUTE(_xlpm.text, INDEX(Abbreviations!$A$2:$A$11, _xlpm.i), INDEX(Abbreviations!$B$2:$B$11, _xlpm.i))))</f>
        <v>TEBRAU_CITY_MALL</v>
      </c>
      <c r="F35" t="s">
        <v>292</v>
      </c>
      <c r="G35" t="str">
        <f>B35</f>
        <v>Tebrau City Mall</v>
      </c>
      <c r="H35" t="str">
        <f t="shared" si="1"/>
        <v>Tebrau City Mall</v>
      </c>
      <c r="I35" s="5">
        <f>(MID(C35,1,2) + MID(C35,3,2)/60 + MID(C35,5,2)/3600) * IF(MID(C35,7,1)="S",-1,1)</f>
        <v>1.549722222222222</v>
      </c>
      <c r="J35" s="5">
        <f>(MID(C35,9,3) + MID(C35,12,2)/60 + MID(C35,14,2)/3600) * IF(MID(C35,16,1)="W",-1,1)</f>
        <v>103.79666666666667</v>
      </c>
    </row>
    <row r="36" spans="1:10" x14ac:dyDescent="0.25">
      <c r="A36" t="s">
        <v>271</v>
      </c>
      <c r="B36" t="s">
        <v>271</v>
      </c>
      <c r="C36" t="s">
        <v>67</v>
      </c>
      <c r="D36" t="str">
        <f t="shared" si="2"/>
        <v>SOUTH_OF_KG_SEMANGAR</v>
      </c>
      <c r="E36" t="str" cm="1">
        <f t="array" ref="E36">_xlfn.REDUCE(D36, _xlfn.SEQUENCE(ROWS(Abbreviations!$A$2:$A$11)), _xlfn.LAMBDA(_xlpm.text,_xlpm.i, SUBSTITUTE(_xlpm.text, INDEX(Abbreviations!$A$2:$A$11, _xlpm.i), INDEX(Abbreviations!$B$2:$B$11, _xlpm.i))))</f>
        <v>SOUTH_KG_SEMANGAR</v>
      </c>
      <c r="F36" t="s">
        <v>297</v>
      </c>
      <c r="G36" t="str">
        <f>B36</f>
        <v>South Of Kg Semangar</v>
      </c>
      <c r="H36" t="str">
        <f t="shared" si="1"/>
        <v>South Of Kg Semangar</v>
      </c>
      <c r="I36" s="5">
        <f>(MID(C36,1,2) + MID(C36,3,2)/60 + MID(C36,5,2)/3600) * IF(MID(C36,7,1)="S",-1,1)</f>
        <v>1.7416666666666667</v>
      </c>
      <c r="J36" s="5">
        <f>(MID(C36,9,3) + MID(C36,12,2)/60 + MID(C36,14,2)/3600) * IF(MID(C36,16,1)="W",-1,1)</f>
        <v>103.78333333333333</v>
      </c>
    </row>
    <row r="37" spans="1:10" x14ac:dyDescent="0.25">
      <c r="A37" t="s">
        <v>253</v>
      </c>
      <c r="B37" t="s">
        <v>253</v>
      </c>
      <c r="C37" t="s">
        <v>68</v>
      </c>
      <c r="D37" t="str">
        <f t="shared" si="2"/>
        <v>KAMPUNG_SEDILI_BESAR</v>
      </c>
      <c r="E37" t="str" cm="1">
        <f t="array" ref="E37">_xlfn.REDUCE(D37, _xlfn.SEQUENCE(ROWS(Abbreviations!$A$2:$A$11)), _xlfn.LAMBDA(_xlpm.text,_xlpm.i, SUBSTITUTE(_xlpm.text, INDEX(Abbreviations!$A$2:$A$11, _xlpm.i), INDEX(Abbreviations!$B$2:$B$11, _xlpm.i))))</f>
        <v>KG_SEDILI_BESAR</v>
      </c>
      <c r="F37" t="s">
        <v>286</v>
      </c>
      <c r="G37" t="str">
        <f>B37</f>
        <v>Kampung Sedili Besar</v>
      </c>
      <c r="H37" t="str">
        <f t="shared" si="1"/>
        <v>Kampung Sedili Besar</v>
      </c>
      <c r="I37" s="5">
        <f>(MID(C37,1,2) + MID(C37,3,2)/60 + MID(C37,5,2)/3600) * IF(MID(C37,7,1)="S",-1,1)</f>
        <v>1.9266666666666665</v>
      </c>
      <c r="J37" s="5">
        <f>(MID(C37,9,3) + MID(C37,12,2)/60 + MID(C37,14,2)/3600) * IF(MID(C37,16,1)="W",-1,1)</f>
        <v>104.11611111111111</v>
      </c>
    </row>
    <row r="38" spans="1:10" x14ac:dyDescent="0.25">
      <c r="A38" t="s">
        <v>221</v>
      </c>
      <c r="B38" t="s">
        <v>221</v>
      </c>
      <c r="C38" t="s">
        <v>69</v>
      </c>
      <c r="D38" t="str">
        <f t="shared" si="2"/>
        <v>SIMPANG_RENGGAM_TOWN</v>
      </c>
      <c r="E38" t="str" cm="1">
        <f t="array" ref="E38">_xlfn.REDUCE(D38, _xlfn.SEQUENCE(ROWS(Abbreviations!$A$2:$A$11)), _xlfn.LAMBDA(_xlpm.text,_xlpm.i, SUBSTITUTE(_xlpm.text, INDEX(Abbreviations!$A$2:$A$11, _xlpm.i), INDEX(Abbreviations!$B$2:$B$11, _xlpm.i))))</f>
        <v>SIMPANG_RENGGAM_TOWN</v>
      </c>
      <c r="F38" t="s">
        <v>296</v>
      </c>
      <c r="G38" t="str">
        <f>B38</f>
        <v>Simpang Renggam Town</v>
      </c>
      <c r="H38" t="str">
        <f t="shared" si="1"/>
        <v>Simpang Renggam Town</v>
      </c>
      <c r="I38" s="5">
        <f>(MID(C38,1,2) + MID(C38,3,2)/60 + MID(C38,5,2)/3600) * IF(MID(C38,7,1)="S",-1,1)</f>
        <v>1.8277777777777777</v>
      </c>
      <c r="J38" s="5">
        <f>(MID(C38,9,3) + MID(C38,12,2)/60 + MID(C38,14,2)/3600) * IF(MID(C38,16,1)="W",-1,1)</f>
        <v>103.30944444444444</v>
      </c>
    </row>
    <row r="39" spans="1:10" x14ac:dyDescent="0.25">
      <c r="A39" t="s">
        <v>70</v>
      </c>
      <c r="B39" t="s">
        <v>70</v>
      </c>
      <c r="C39" t="s">
        <v>71</v>
      </c>
      <c r="D39" t="str">
        <f t="shared" si="2"/>
        <v>AIR_HITAM</v>
      </c>
      <c r="E39" t="str" cm="1">
        <f t="array" ref="E39">_xlfn.REDUCE(D39, _xlfn.SEQUENCE(ROWS(Abbreviations!$A$2:$A$11)), _xlfn.LAMBDA(_xlpm.text,_xlpm.i, SUBSTITUTE(_xlpm.text, INDEX(Abbreviations!$A$2:$A$11, _xlpm.i), INDEX(Abbreviations!$B$2:$B$11, _xlpm.i))))</f>
        <v>AIR_HITAM</v>
      </c>
      <c r="F39" t="s">
        <v>295</v>
      </c>
      <c r="G39" t="str">
        <f>B39</f>
        <v>Air Hitam</v>
      </c>
      <c r="H39" t="str">
        <f t="shared" si="1"/>
        <v>Air Hitam</v>
      </c>
      <c r="I39" s="5">
        <f>(MID(C39,1,2) + MID(C39,3,2)/60 + MID(C39,5,2)/3600) * IF(MID(C39,7,1)="S",-1,1)</f>
        <v>1.931111111111111</v>
      </c>
      <c r="J39" s="5">
        <f>(MID(C39,9,3) + MID(C39,12,2)/60 + MID(C39,14,2)/3600) * IF(MID(C39,16,1)="W",-1,1)</f>
        <v>103.17583333333334</v>
      </c>
    </row>
    <row r="40" spans="1:10" x14ac:dyDescent="0.25">
      <c r="A40" t="s">
        <v>72</v>
      </c>
      <c r="B40" t="s">
        <v>72</v>
      </c>
      <c r="C40" t="s">
        <v>73</v>
      </c>
      <c r="D40" t="str">
        <f t="shared" si="2"/>
        <v>YONG_PENG</v>
      </c>
      <c r="E40" t="str" cm="1">
        <f t="array" ref="E40">_xlfn.REDUCE(D40, _xlfn.SEQUENCE(ROWS(Abbreviations!$A$2:$A$11)), _xlfn.LAMBDA(_xlpm.text,_xlpm.i, SUBSTITUTE(_xlpm.text, INDEX(Abbreviations!$A$2:$A$11, _xlpm.i), INDEX(Abbreviations!$B$2:$B$11, _xlpm.i))))</f>
        <v>YONG_PENG</v>
      </c>
      <c r="F40" t="s">
        <v>294</v>
      </c>
      <c r="G40" t="str">
        <f>B40</f>
        <v>Yong Peng</v>
      </c>
      <c r="H40" t="str">
        <f t="shared" si="1"/>
        <v>Yong Peng</v>
      </c>
      <c r="I40" s="5">
        <f>(MID(C40,1,2) + MID(C40,3,2)/60 + MID(C40,5,2)/3600) * IF(MID(C40,7,1)="S",-1,1)</f>
        <v>2.0172222222222222</v>
      </c>
      <c r="J40" s="5">
        <f>(MID(C40,9,3) + MID(C40,12,2)/60 + MID(C40,14,2)/3600) * IF(MID(C40,16,1)="W",-1,1)</f>
        <v>103.06305555555555</v>
      </c>
    </row>
    <row r="41" spans="1:10" x14ac:dyDescent="0.25">
      <c r="A41" t="s">
        <v>254</v>
      </c>
      <c r="B41" t="s">
        <v>254</v>
      </c>
      <c r="C41" t="s">
        <v>74</v>
      </c>
      <c r="D41" t="str">
        <f t="shared" si="2"/>
        <v>POINT_XRAY</v>
      </c>
      <c r="E41" t="str" cm="1">
        <f t="array" ref="E41">_xlfn.REDUCE(D41, _xlfn.SEQUENCE(ROWS(Abbreviations!$A$2:$A$11)), _xlfn.LAMBDA(_xlpm.text,_xlpm.i, SUBSTITUTE(_xlpm.text, INDEX(Abbreviations!$A$2:$A$11, _xlpm.i), INDEX(Abbreviations!$B$2:$B$11, _xlpm.i))))</f>
        <v>POINT_XRAY</v>
      </c>
      <c r="F41" t="s">
        <v>293</v>
      </c>
      <c r="G41" t="str">
        <f>B41</f>
        <v>Point XRay</v>
      </c>
      <c r="H41" t="str">
        <f t="shared" si="1"/>
        <v>Point XRay</v>
      </c>
      <c r="I41" s="5">
        <f>(MID(C41,1,2) + MID(C41,3,2)/60 + MID(C41,5,2)/3600) * IF(MID(C41,7,1)="S",-1,1)</f>
        <v>1.4750000000000001</v>
      </c>
      <c r="J41" s="5">
        <f>(MID(C41,9,3) + MID(C41,12,2)/60 + MID(C41,14,2)/3600) * IF(MID(C41,16,1)="W",-1,1)</f>
        <v>103.83166666666666</v>
      </c>
    </row>
    <row r="42" spans="1:10" x14ac:dyDescent="0.25">
      <c r="A42" t="s">
        <v>75</v>
      </c>
      <c r="B42" t="s">
        <v>75</v>
      </c>
      <c r="C42" t="s">
        <v>89</v>
      </c>
      <c r="D42" t="str">
        <f t="shared" si="2"/>
        <v>TASS_ANDRASSY</v>
      </c>
      <c r="E42" t="str" cm="1">
        <f t="array" ref="E42">_xlfn.REDUCE(D42, _xlfn.SEQUENCE(ROWS(Abbreviations!$A$2:$A$11)), _xlfn.LAMBDA(_xlpm.text,_xlpm.i, SUBSTITUTE(_xlpm.text, INDEX(Abbreviations!$A$2:$A$11, _xlpm.i), INDEX(Abbreviations!$B$2:$B$11, _xlpm.i))))</f>
        <v>TASS_ANDRASSY</v>
      </c>
      <c r="F42" t="s">
        <v>350</v>
      </c>
      <c r="G42" t="str">
        <f>B42</f>
        <v>Tass Andrassy</v>
      </c>
      <c r="H42" t="str">
        <f t="shared" si="1"/>
        <v>Tass Andrassy</v>
      </c>
      <c r="I42" s="5">
        <f>(MID(C42,1,2) + MID(C42,3,2)/60 + MID(C42,5,2)/3600) * IF(MID(C42,7,1)="S",-1,1)</f>
        <v>4.3213888888888885</v>
      </c>
      <c r="J42" s="5">
        <f>(MID(C42,9,3) + MID(C42,12,2)/60 + MID(C42,14,2)/3600) * IF(MID(C42,16,1)="W",-1,1)</f>
        <v>118.02138888888889</v>
      </c>
    </row>
    <row r="43" spans="1:10" x14ac:dyDescent="0.25">
      <c r="A43" t="s">
        <v>76</v>
      </c>
      <c r="B43" t="s">
        <v>76</v>
      </c>
      <c r="C43" t="s">
        <v>90</v>
      </c>
      <c r="D43" t="str">
        <f t="shared" si="2"/>
        <v>OLD_AIRPORT</v>
      </c>
      <c r="E43" t="str" cm="1">
        <f t="array" ref="E43">_xlfn.REDUCE(D43, _xlfn.SEQUENCE(ROWS(Abbreviations!$A$2:$A$11)), _xlfn.LAMBDA(_xlpm.text,_xlpm.i, SUBSTITUTE(_xlpm.text, INDEX(Abbreviations!$A$2:$A$11, _xlpm.i), INDEX(Abbreviations!$B$2:$B$11, _xlpm.i))))</f>
        <v>OLD_AIRPORT</v>
      </c>
      <c r="F43" t="s">
        <v>351</v>
      </c>
      <c r="G43" t="str">
        <f>B43</f>
        <v>Old Airport</v>
      </c>
      <c r="H43" t="str">
        <f t="shared" si="1"/>
        <v>Old Airport</v>
      </c>
      <c r="I43" s="5">
        <f>(MID(C43,1,2) + MID(C43,3,2)/60 + MID(C43,5,2)/3600) * IF(MID(C43,7,1)="S",-1,1)</f>
        <v>4.2669444444444444</v>
      </c>
      <c r="J43" s="5">
        <f>(MID(C43,9,3) + MID(C43,12,2)/60 + MID(C43,14,2)/3600) * IF(MID(C43,16,1)="W",-1,1)</f>
        <v>117.88666666666667</v>
      </c>
    </row>
    <row r="44" spans="1:10" x14ac:dyDescent="0.25">
      <c r="A44" t="s">
        <v>77</v>
      </c>
      <c r="B44" t="s">
        <v>77</v>
      </c>
      <c r="C44" t="s">
        <v>91</v>
      </c>
      <c r="D44" t="str">
        <f t="shared" si="2"/>
        <v>SEBATIK_ISLAND</v>
      </c>
      <c r="E44" t="str" cm="1">
        <f t="array" ref="E44">_xlfn.REDUCE(D44, _xlfn.SEQUENCE(ROWS(Abbreviations!$A$2:$A$11)), _xlfn.LAMBDA(_xlpm.text,_xlpm.i, SUBSTITUTE(_xlpm.text, INDEX(Abbreviations!$A$2:$A$11, _xlpm.i), INDEX(Abbreviations!$B$2:$B$11, _xlpm.i))))</f>
        <v>SEBATIK_IS</v>
      </c>
      <c r="F44" t="s">
        <v>352</v>
      </c>
      <c r="G44" t="str">
        <f>B44</f>
        <v>Sebatik Island</v>
      </c>
      <c r="H44" t="str">
        <f t="shared" si="1"/>
        <v>Sebatik Island</v>
      </c>
      <c r="I44" s="5">
        <f>(MID(C44,1,2) + MID(C44,3,2)/60 + MID(C44,5,2)/3600) * IF(MID(C44,7,1)="S",-1,1)</f>
        <v>4.2230555555555558</v>
      </c>
      <c r="J44" s="5">
        <f>(MID(C44,9,3) + MID(C44,12,2)/60 + MID(C44,14,2)/3600) * IF(MID(C44,16,1)="W",-1,1)</f>
        <v>117.78055555555555</v>
      </c>
    </row>
    <row r="45" spans="1:10" x14ac:dyDescent="0.25">
      <c r="A45" t="s">
        <v>78</v>
      </c>
      <c r="B45" t="s">
        <v>78</v>
      </c>
      <c r="C45" t="s">
        <v>92</v>
      </c>
      <c r="D45" t="str">
        <f t="shared" si="2"/>
        <v>KALABAKAN</v>
      </c>
      <c r="E45" t="str" cm="1">
        <f t="array" ref="E45">_xlfn.REDUCE(D45, _xlfn.SEQUENCE(ROWS(Abbreviations!$A$2:$A$11)), _xlfn.LAMBDA(_xlpm.text,_xlpm.i, SUBSTITUTE(_xlpm.text, INDEX(Abbreviations!$A$2:$A$11, _xlpm.i), INDEX(Abbreviations!$B$2:$B$11, _xlpm.i))))</f>
        <v>KALABAKAN</v>
      </c>
      <c r="F45" t="s">
        <v>353</v>
      </c>
      <c r="G45" t="str">
        <f>B45</f>
        <v>Kalabakan</v>
      </c>
      <c r="H45" t="str">
        <f t="shared" si="1"/>
        <v>Kalabakan</v>
      </c>
      <c r="I45" s="5">
        <f>(MID(C45,1,2) + MID(C45,3,2)/60 + MID(C45,5,2)/3600) * IF(MID(C45,7,1)="S",-1,1)</f>
        <v>4.3988888888888891</v>
      </c>
      <c r="J45" s="5">
        <f>(MID(C45,9,3) + MID(C45,12,2)/60 + MID(C45,14,2)/3600) * IF(MID(C45,16,1)="W",-1,1)</f>
        <v>117.495</v>
      </c>
    </row>
    <row r="46" spans="1:10" x14ac:dyDescent="0.25">
      <c r="A46" t="s">
        <v>79</v>
      </c>
      <c r="B46" t="s">
        <v>79</v>
      </c>
      <c r="C46" t="s">
        <v>93</v>
      </c>
      <c r="D46" t="str">
        <f t="shared" si="2"/>
        <v>BALUNG</v>
      </c>
      <c r="E46" t="str" cm="1">
        <f t="array" ref="E46">_xlfn.REDUCE(D46, _xlfn.SEQUENCE(ROWS(Abbreviations!$A$2:$A$11)), _xlfn.LAMBDA(_xlpm.text,_xlpm.i, SUBSTITUTE(_xlpm.text, INDEX(Abbreviations!$A$2:$A$11, _xlpm.i), INDEX(Abbreviations!$B$2:$B$11, _xlpm.i))))</f>
        <v>BALUNG</v>
      </c>
      <c r="F46" t="s">
        <v>328</v>
      </c>
      <c r="G46" t="str">
        <f>B46</f>
        <v>Balung</v>
      </c>
      <c r="H46" t="str">
        <f t="shared" si="1"/>
        <v>Balung</v>
      </c>
      <c r="I46" s="5">
        <f>(MID(C46,1,2) + MID(C46,3,2)/60 + MID(C46,5,2)/3600) * IF(MID(C46,7,1)="S",-1,1)</f>
        <v>4.3644444444444437</v>
      </c>
      <c r="J46" s="5">
        <f>(MID(C46,9,3) + MID(C46,12,2)/60 + MID(C46,14,2)/3600) * IF(MID(C46,16,1)="W",-1,1)</f>
        <v>118.12777777777777</v>
      </c>
    </row>
    <row r="47" spans="1:10" x14ac:dyDescent="0.25">
      <c r="A47" t="s">
        <v>80</v>
      </c>
      <c r="B47" t="s">
        <v>80</v>
      </c>
      <c r="C47" t="s">
        <v>94</v>
      </c>
      <c r="D47" t="str">
        <f t="shared" si="2"/>
        <v>KAWA_HILL</v>
      </c>
      <c r="E47" t="str" cm="1">
        <f t="array" ref="E47">_xlfn.REDUCE(D47, _xlfn.SEQUENCE(ROWS(Abbreviations!$A$2:$A$11)), _xlfn.LAMBDA(_xlpm.text,_xlpm.i, SUBSTITUTE(_xlpm.text, INDEX(Abbreviations!$A$2:$A$11, _xlpm.i), INDEX(Abbreviations!$B$2:$B$11, _xlpm.i))))</f>
        <v>KAWA_HILL</v>
      </c>
      <c r="F47" t="s">
        <v>354</v>
      </c>
      <c r="G47" t="str">
        <f>B47</f>
        <v>Kawa Hill</v>
      </c>
      <c r="H47" t="str">
        <f t="shared" si="1"/>
        <v>Kawa Hill</v>
      </c>
      <c r="I47" s="5">
        <f>(MID(C47,1,2) + MID(C47,3,2)/60 + MID(C47,5,2)/3600) * IF(MID(C47,7,1)="S",-1,1)</f>
        <v>4.3938888888888892</v>
      </c>
      <c r="J47" s="5">
        <f>(MID(C47,9,3) + MID(C47,12,2)/60 + MID(C47,14,2)/3600) * IF(MID(C47,16,1)="W",-1,1)</f>
        <v>118.08694444444444</v>
      </c>
    </row>
    <row r="48" spans="1:10" x14ac:dyDescent="0.25">
      <c r="A48" t="s">
        <v>274</v>
      </c>
      <c r="B48" t="s">
        <v>274</v>
      </c>
      <c r="C48" t="s">
        <v>95</v>
      </c>
      <c r="D48" t="str">
        <f t="shared" si="2"/>
        <v>MT_PYRAMID</v>
      </c>
      <c r="E48" t="str" cm="1">
        <f t="array" ref="E48">_xlfn.REDUCE(D48, _xlfn.SEQUENCE(ROWS(Abbreviations!$A$2:$A$11)), _xlfn.LAMBDA(_xlpm.text,_xlpm.i, SUBSTITUTE(_xlpm.text, INDEX(Abbreviations!$A$2:$A$11, _xlpm.i), INDEX(Abbreviations!$B$2:$B$11, _xlpm.i))))</f>
        <v>MT_PYRAMID</v>
      </c>
      <c r="F48" t="s">
        <v>355</v>
      </c>
      <c r="G48" t="str">
        <f>B48</f>
        <v>Mt Pyramid</v>
      </c>
      <c r="H48" t="str">
        <f t="shared" si="1"/>
        <v>Mt Pyramid</v>
      </c>
      <c r="I48" s="5">
        <f>(MID(C48,1,2) + MID(C48,3,2)/60 + MID(C48,5,2)/3600) * IF(MID(C48,7,1)="S",-1,1)</f>
        <v>4.4733333333333336</v>
      </c>
      <c r="J48" s="5">
        <f>(MID(C48,9,3) + MID(C48,12,2)/60 + MID(C48,14,2)/3600) * IF(MID(C48,16,1)="W",-1,1)</f>
        <v>118.06916666666666</v>
      </c>
    </row>
    <row r="49" spans="1:10" x14ac:dyDescent="0.25">
      <c r="A49" t="s">
        <v>81</v>
      </c>
      <c r="B49" t="s">
        <v>81</v>
      </c>
      <c r="C49" t="s">
        <v>96</v>
      </c>
      <c r="D49" t="str">
        <f t="shared" si="2"/>
        <v>BATURONG</v>
      </c>
      <c r="E49" t="str" cm="1">
        <f t="array" ref="E49">_xlfn.REDUCE(D49, _xlfn.SEQUENCE(ROWS(Abbreviations!$A$2:$A$11)), _xlfn.LAMBDA(_xlpm.text,_xlpm.i, SUBSTITUTE(_xlpm.text, INDEX(Abbreviations!$A$2:$A$11, _xlpm.i), INDEX(Abbreviations!$B$2:$B$11, _xlpm.i))))</f>
        <v>BATURONG</v>
      </c>
      <c r="F49" t="s">
        <v>356</v>
      </c>
      <c r="G49" t="str">
        <f>B49</f>
        <v>Baturong</v>
      </c>
      <c r="H49" t="str">
        <f t="shared" si="1"/>
        <v>Baturong</v>
      </c>
      <c r="I49" s="5">
        <f>(MID(C49,1,2) + MID(C49,3,2)/60 + MID(C49,5,2)/3600) * IF(MID(C49,7,1)="S",-1,1)</f>
        <v>4.6994444444444445</v>
      </c>
      <c r="J49" s="5">
        <f>(MID(C49,9,3) + MID(C49,12,2)/60 + MID(C49,14,2)/3600) * IF(MID(C49,16,1)="W",-1,1)</f>
        <v>118.0025</v>
      </c>
    </row>
    <row r="50" spans="1:10" x14ac:dyDescent="0.25">
      <c r="A50" t="s">
        <v>82</v>
      </c>
      <c r="B50" t="s">
        <v>82</v>
      </c>
      <c r="C50" t="s">
        <v>97</v>
      </c>
      <c r="D50" t="str">
        <f t="shared" si="2"/>
        <v>DANUM</v>
      </c>
      <c r="E50" t="str" cm="1">
        <f t="array" ref="E50">_xlfn.REDUCE(D50, _xlfn.SEQUENCE(ROWS(Abbreviations!$A$2:$A$11)), _xlfn.LAMBDA(_xlpm.text,_xlpm.i, SUBSTITUTE(_xlpm.text, INDEX(Abbreviations!$A$2:$A$11, _xlpm.i), INDEX(Abbreviations!$B$2:$B$11, _xlpm.i))))</f>
        <v>DANUM</v>
      </c>
      <c r="F50" t="s">
        <v>329</v>
      </c>
      <c r="G50" t="str">
        <f>B50</f>
        <v>Danum</v>
      </c>
      <c r="H50" t="str">
        <f t="shared" si="1"/>
        <v>Danum</v>
      </c>
      <c r="I50" s="5">
        <f>(MID(C50,1,2) + MID(C50,3,2)/60 + MID(C50,5,2)/3600) * IF(MID(C50,7,1)="S",-1,1)</f>
        <v>4.8519444444444444</v>
      </c>
      <c r="J50" s="5">
        <f>(MID(C50,9,3) + MID(C50,12,2)/60 + MID(C50,14,2)/3600) * IF(MID(C50,16,1)="W",-1,1)</f>
        <v>117.78638888888889</v>
      </c>
    </row>
    <row r="51" spans="1:10" x14ac:dyDescent="0.25">
      <c r="A51" t="s">
        <v>83</v>
      </c>
      <c r="B51" t="s">
        <v>83</v>
      </c>
      <c r="C51" t="s">
        <v>98</v>
      </c>
      <c r="D51" t="str">
        <f t="shared" si="2"/>
        <v>JUNCTION_(49KM)</v>
      </c>
      <c r="E51" t="str" cm="1">
        <f t="array" ref="E51">_xlfn.REDUCE(D51, _xlfn.SEQUENCE(ROWS(Abbreviations!$A$2:$A$11)), _xlfn.LAMBDA(_xlpm.text,_xlpm.i, SUBSTITUTE(_xlpm.text, INDEX(Abbreviations!$A$2:$A$11, _xlpm.i), INDEX(Abbreviations!$B$2:$B$11, _xlpm.i))))</f>
        <v>JUNCTION_(49KM)</v>
      </c>
      <c r="F51" t="s">
        <v>357</v>
      </c>
      <c r="G51" t="str">
        <f>B51</f>
        <v>Junction (49KM)</v>
      </c>
      <c r="H51" t="str">
        <f t="shared" si="1"/>
        <v>Junction (49KM)</v>
      </c>
      <c r="I51" s="5">
        <f>(MID(C51,1,2) + MID(C51,3,2)/60 + MID(C51,5,2)/3600) * IF(MID(C51,7,1)="S",-1,1)</f>
        <v>4.4266666666666667</v>
      </c>
      <c r="J51" s="5">
        <f>(MID(C51,9,3) + MID(C51,12,2)/60 + MID(C51,14,2)/3600) * IF(MID(C51,16,1)="W",-1,1)</f>
        <v>118.17833333333334</v>
      </c>
    </row>
    <row r="52" spans="1:10" x14ac:dyDescent="0.25">
      <c r="A52" t="s">
        <v>255</v>
      </c>
      <c r="B52" t="s">
        <v>255</v>
      </c>
      <c r="C52" t="s">
        <v>99</v>
      </c>
      <c r="D52" t="str">
        <f t="shared" si="2"/>
        <v>KAMPUNG_AMAN</v>
      </c>
      <c r="E52" t="str" cm="1">
        <f t="array" ref="E52">_xlfn.REDUCE(D52, _xlfn.SEQUENCE(ROWS(Abbreviations!$A$2:$A$11)), _xlfn.LAMBDA(_xlpm.text,_xlpm.i, SUBSTITUTE(_xlpm.text, INDEX(Abbreviations!$A$2:$A$11, _xlpm.i), INDEX(Abbreviations!$B$2:$B$11, _xlpm.i))))</f>
        <v>KG_AMAN</v>
      </c>
      <c r="F52" t="s">
        <v>358</v>
      </c>
      <c r="G52" t="str">
        <f>B52</f>
        <v>Kampung Aman</v>
      </c>
      <c r="H52" t="str">
        <f t="shared" si="1"/>
        <v>Kampung Aman</v>
      </c>
      <c r="I52" s="5">
        <f>(MID(C52,1,2) + MID(C52,3,2)/60 + MID(C52,5,2)/3600) * IF(MID(C52,7,1)="S",-1,1)</f>
        <v>4.6036111111111104</v>
      </c>
      <c r="J52" s="5">
        <f>(MID(C52,9,3) + MID(C52,12,2)/60 + MID(C52,14,2)/3600) * IF(MID(C52,16,1)="W",-1,1)</f>
        <v>118.18972222222223</v>
      </c>
    </row>
    <row r="53" spans="1:10" x14ac:dyDescent="0.25">
      <c r="A53" t="s">
        <v>256</v>
      </c>
      <c r="B53" t="s">
        <v>256</v>
      </c>
      <c r="C53" t="s">
        <v>100</v>
      </c>
      <c r="D53" t="str">
        <f t="shared" si="2"/>
        <v>TANJUNG_BATAI</v>
      </c>
      <c r="E53" t="str" cm="1">
        <f t="array" ref="E53">_xlfn.REDUCE(D53, _xlfn.SEQUENCE(ROWS(Abbreviations!$A$2:$A$11)), _xlfn.LAMBDA(_xlpm.text,_xlpm.i, SUBSTITUTE(_xlpm.text, INDEX(Abbreviations!$A$2:$A$11, _xlpm.i), INDEX(Abbreviations!$B$2:$B$11, _xlpm.i))))</f>
        <v>TJ_BATAI</v>
      </c>
      <c r="F53" t="s">
        <v>359</v>
      </c>
      <c r="G53" t="str">
        <f>B53</f>
        <v>Tanjung Batai</v>
      </c>
      <c r="H53" t="str">
        <f t="shared" si="1"/>
        <v>Tanjung Batai</v>
      </c>
      <c r="I53" s="5">
        <f>(MID(C53,1,2) + MID(C53,3,2)/60 + MID(C53,5,2)/3600) * IF(MID(C53,7,1)="S",-1,1)</f>
        <v>4.8386111111111108</v>
      </c>
      <c r="J53" s="5">
        <f>(MID(C53,9,3) + MID(C53,12,2)/60 + MID(C53,14,2)/3600) * IF(MID(C53,16,1)="W",-1,1)</f>
        <v>118.16777777777779</v>
      </c>
    </row>
    <row r="54" spans="1:10" x14ac:dyDescent="0.25">
      <c r="A54" t="s">
        <v>84</v>
      </c>
      <c r="B54" t="s">
        <v>84</v>
      </c>
      <c r="C54" t="s">
        <v>101</v>
      </c>
      <c r="D54" t="str">
        <f t="shared" si="2"/>
        <v>SADDLE_HILL</v>
      </c>
      <c r="E54" t="str" cm="1">
        <f t="array" ref="E54">_xlfn.REDUCE(D54, _xlfn.SEQUENCE(ROWS(Abbreviations!$A$2:$A$11)), _xlfn.LAMBDA(_xlpm.text,_xlpm.i, SUBSTITUTE(_xlpm.text, INDEX(Abbreviations!$A$2:$A$11, _xlpm.i), INDEX(Abbreviations!$B$2:$B$11, _xlpm.i))))</f>
        <v>SADDLE_HILL</v>
      </c>
      <c r="F54" t="s">
        <v>360</v>
      </c>
      <c r="G54" t="str">
        <f>B54</f>
        <v>Saddle Hill</v>
      </c>
      <c r="H54" t="str">
        <f t="shared" si="1"/>
        <v>Saddle Hill</v>
      </c>
      <c r="I54" s="5">
        <f>(MID(C54,1,2) + MID(C54,3,2)/60 + MID(C54,5,2)/3600) * IF(MID(C54,7,1)="S",-1,1)</f>
        <v>4.2988888888888885</v>
      </c>
      <c r="J54" s="5">
        <f>(MID(C54,9,3) + MID(C54,12,2)/60 + MID(C54,14,2)/3600) * IF(MID(C54,16,1)="W",-1,1)</f>
        <v>118.18555555555555</v>
      </c>
    </row>
    <row r="55" spans="1:10" x14ac:dyDescent="0.25">
      <c r="A55" t="s">
        <v>85</v>
      </c>
      <c r="B55" t="s">
        <v>85</v>
      </c>
      <c r="C55" t="s">
        <v>102</v>
      </c>
      <c r="D55" t="str">
        <f t="shared" si="2"/>
        <v>NAGOS</v>
      </c>
      <c r="E55" t="str" cm="1">
        <f t="array" ref="E55">_xlfn.REDUCE(D55, _xlfn.SEQUENCE(ROWS(Abbreviations!$A$2:$A$11)), _xlfn.LAMBDA(_xlpm.text,_xlpm.i, SUBSTITUTE(_xlpm.text, INDEX(Abbreviations!$A$2:$A$11, _xlpm.i), INDEX(Abbreviations!$B$2:$B$11, _xlpm.i))))</f>
        <v>NAGOS</v>
      </c>
      <c r="F55" t="s">
        <v>330</v>
      </c>
      <c r="G55" t="str">
        <f>B55</f>
        <v>Nagos</v>
      </c>
      <c r="H55" t="str">
        <f t="shared" si="1"/>
        <v>Nagos</v>
      </c>
      <c r="I55" s="5">
        <f>(MID(C55,1,2) + MID(C55,3,2)/60 + MID(C55,5,2)/3600) * IF(MID(C55,7,1)="S",-1,1)</f>
        <v>4.3477777777777771</v>
      </c>
      <c r="J55" s="5">
        <f>(MID(C55,9,3) + MID(C55,12,2)/60 + MID(C55,14,2)/3600) * IF(MID(C55,16,1)="W",-1,1)</f>
        <v>118.39305555555556</v>
      </c>
    </row>
    <row r="56" spans="1:10" x14ac:dyDescent="0.25">
      <c r="A56" t="s">
        <v>86</v>
      </c>
      <c r="B56" t="s">
        <v>86</v>
      </c>
      <c r="C56" t="s">
        <v>103</v>
      </c>
      <c r="D56" t="str">
        <f t="shared" si="2"/>
        <v>SEMPORNA</v>
      </c>
      <c r="E56" t="str" cm="1">
        <f t="array" ref="E56">_xlfn.REDUCE(D56, _xlfn.SEQUENCE(ROWS(Abbreviations!$A$2:$A$11)), _xlfn.LAMBDA(_xlpm.text,_xlpm.i, SUBSTITUTE(_xlpm.text, INDEX(Abbreviations!$A$2:$A$11, _xlpm.i), INDEX(Abbreviations!$B$2:$B$11, _xlpm.i))))</f>
        <v>SEMPORNA</v>
      </c>
      <c r="F56" t="s">
        <v>361</v>
      </c>
      <c r="G56" t="str">
        <f>B56</f>
        <v>Semporna</v>
      </c>
      <c r="H56" t="str">
        <f t="shared" si="1"/>
        <v>Semporna</v>
      </c>
      <c r="I56" s="5">
        <f>(MID(C56,1,2) + MID(C56,3,2)/60 + MID(C56,5,2)/3600) * IF(MID(C56,7,1)="S",-1,1)</f>
        <v>4.4497222222222224</v>
      </c>
      <c r="J56" s="5">
        <f>(MID(C56,9,3) + MID(C56,12,2)/60 + MID(C56,14,2)/3600) * IF(MID(C56,16,1)="W",-1,1)</f>
        <v>118.59638888888888</v>
      </c>
    </row>
    <row r="57" spans="1:10" x14ac:dyDescent="0.25">
      <c r="A57" t="s">
        <v>87</v>
      </c>
      <c r="B57" t="s">
        <v>87</v>
      </c>
      <c r="C57" t="s">
        <v>104</v>
      </c>
      <c r="D57" t="str">
        <f t="shared" si="2"/>
        <v>GAYA_ISLAND</v>
      </c>
      <c r="E57" t="str" cm="1">
        <f t="array" ref="E57">_xlfn.REDUCE(D57, _xlfn.SEQUENCE(ROWS(Abbreviations!$A$2:$A$11)), _xlfn.LAMBDA(_xlpm.text,_xlpm.i, SUBSTITUTE(_xlpm.text, INDEX(Abbreviations!$A$2:$A$11, _xlpm.i), INDEX(Abbreviations!$B$2:$B$11, _xlpm.i))))</f>
        <v>GAYA_IS</v>
      </c>
      <c r="F57" t="s">
        <v>362</v>
      </c>
      <c r="G57" t="str">
        <f>B57</f>
        <v>Gaya Island</v>
      </c>
      <c r="H57" t="str">
        <f t="shared" si="1"/>
        <v>Gaya Island</v>
      </c>
      <c r="I57" s="5">
        <f>(MID(C57,1,2) + MID(C57,3,2)/60 + MID(C57,5,2)/3600) * IF(MID(C57,7,1)="S",-1,1)</f>
        <v>4.6222222222222227</v>
      </c>
      <c r="J57" s="5">
        <f>(MID(C57,9,3) + MID(C57,12,2)/60 + MID(C57,14,2)/3600) * IF(MID(C57,16,1)="W",-1,1)</f>
        <v>118.74027777777778</v>
      </c>
    </row>
    <row r="58" spans="1:10" x14ac:dyDescent="0.25">
      <c r="A58" t="s">
        <v>88</v>
      </c>
      <c r="B58" t="s">
        <v>88</v>
      </c>
      <c r="C58" t="s">
        <v>105</v>
      </c>
      <c r="D58" t="str">
        <f t="shared" si="2"/>
        <v>SIPADAN_ISLAND</v>
      </c>
      <c r="E58" t="str" cm="1">
        <f t="array" ref="E58">_xlfn.REDUCE(D58, _xlfn.SEQUENCE(ROWS(Abbreviations!$A$2:$A$11)), _xlfn.LAMBDA(_xlpm.text,_xlpm.i, SUBSTITUTE(_xlpm.text, INDEX(Abbreviations!$A$2:$A$11, _xlpm.i), INDEX(Abbreviations!$B$2:$B$11, _xlpm.i))))</f>
        <v>SIPADAN_IS</v>
      </c>
      <c r="F58" t="s">
        <v>363</v>
      </c>
      <c r="G58" t="str">
        <f>B58</f>
        <v>Sipadan Island</v>
      </c>
      <c r="H58" t="str">
        <f t="shared" si="1"/>
        <v>Sipadan Island</v>
      </c>
      <c r="I58" s="5">
        <f>(MID(C58,1,2) + MID(C58,3,2)/60 + MID(C58,5,2)/3600) * IF(MID(C58,7,1)="S",-1,1)</f>
        <v>4.1405555555555562</v>
      </c>
      <c r="J58" s="5">
        <f>(MID(C58,9,3) + MID(C58,12,2)/60 + MID(C58,14,2)/3600) * IF(MID(C58,16,1)="W",-1,1)</f>
        <v>118.6438888888889</v>
      </c>
    </row>
    <row r="59" spans="1:10" x14ac:dyDescent="0.25">
      <c r="A59" t="s">
        <v>106</v>
      </c>
      <c r="B59" t="s">
        <v>106</v>
      </c>
      <c r="C59" t="s">
        <v>126</v>
      </c>
      <c r="D59" t="str">
        <f t="shared" si="2"/>
        <v>BANDAR_INDAH_(ROAD_JUNCTION)</v>
      </c>
      <c r="E59" t="str" cm="1">
        <f t="array" ref="E59">_xlfn.REDUCE(D59, _xlfn.SEQUENCE(ROWS(Abbreviations!$A$2:$A$11)), _xlfn.LAMBDA(_xlpm.text,_xlpm.i, SUBSTITUTE(_xlpm.text, INDEX(Abbreviations!$A$2:$A$11, _xlpm.i), INDEX(Abbreviations!$B$2:$B$11, _xlpm.i))))</f>
        <v>BANDAR_INDAH_(ROAD_JUNCTION)</v>
      </c>
      <c r="F59" t="s">
        <v>364</v>
      </c>
      <c r="G59" t="str">
        <f>B59</f>
        <v>Bandar Indah (Road Junction)</v>
      </c>
      <c r="H59" t="str">
        <f t="shared" si="1"/>
        <v>Bandar Indah (Road Juncti</v>
      </c>
      <c r="I59" s="5">
        <f>(MID(C59,1,2) + MID(C59,3,2)/60 + MID(C59,5,2)/3600) * IF(MID(C59,7,1)="S",-1,1)</f>
        <v>5.855833333333333</v>
      </c>
      <c r="J59" s="5">
        <f>(MID(C59,9,3) + MID(C59,12,2)/60 + MID(C59,14,2)/3600) * IF(MID(C59,16,1)="W",-1,1)</f>
        <v>118.07222222222222</v>
      </c>
    </row>
    <row r="60" spans="1:10" x14ac:dyDescent="0.25">
      <c r="A60" t="s">
        <v>107</v>
      </c>
      <c r="B60" t="s">
        <v>107</v>
      </c>
      <c r="C60" t="s">
        <v>127</v>
      </c>
      <c r="D60" t="str">
        <f t="shared" si="2"/>
        <v>KAMPONG_TOBANKA</v>
      </c>
      <c r="E60" t="str" cm="1">
        <f t="array" ref="E60">_xlfn.REDUCE(D60, _xlfn.SEQUENCE(ROWS(Abbreviations!$A$2:$A$11)), _xlfn.LAMBDA(_xlpm.text,_xlpm.i, SUBSTITUTE(_xlpm.text, INDEX(Abbreviations!$A$2:$A$11, _xlpm.i), INDEX(Abbreviations!$B$2:$B$11, _xlpm.i))))</f>
        <v>KAMPONG_TOBANKA</v>
      </c>
      <c r="F60" t="s">
        <v>365</v>
      </c>
      <c r="G60" t="str">
        <f>B60</f>
        <v>Kampong Tobanka</v>
      </c>
      <c r="H60" t="str">
        <f t="shared" si="1"/>
        <v>Kampong Tobanka</v>
      </c>
      <c r="I60" s="5">
        <f>(MID(C60,1,2) + MID(C60,3,2)/60 + MID(C60,5,2)/3600) * IF(MID(C60,7,1)="S",-1,1)</f>
        <v>6.019166666666667</v>
      </c>
      <c r="J60" s="5">
        <f>(MID(C60,9,3) + MID(C60,12,2)/60 + MID(C60,14,2)/3600) * IF(MID(C60,16,1)="W",-1,1)</f>
        <v>118.03944444444444</v>
      </c>
    </row>
    <row r="61" spans="1:10" x14ac:dyDescent="0.25">
      <c r="A61" t="s">
        <v>108</v>
      </c>
      <c r="B61" t="s">
        <v>108</v>
      </c>
      <c r="C61" t="s">
        <v>128</v>
      </c>
      <c r="D61" t="str">
        <f t="shared" si="2"/>
        <v>BAI_ISLAND</v>
      </c>
      <c r="E61" t="str" cm="1">
        <f t="array" ref="E61">_xlfn.REDUCE(D61, _xlfn.SEQUENCE(ROWS(Abbreviations!$A$2:$A$11)), _xlfn.LAMBDA(_xlpm.text,_xlpm.i, SUBSTITUTE(_xlpm.text, INDEX(Abbreviations!$A$2:$A$11, _xlpm.i), INDEX(Abbreviations!$B$2:$B$11, _xlpm.i))))</f>
        <v>BAI_IS</v>
      </c>
      <c r="F61" t="s">
        <v>398</v>
      </c>
      <c r="G61" t="str">
        <f>B61</f>
        <v>Bai Island</v>
      </c>
      <c r="H61" t="str">
        <f t="shared" si="1"/>
        <v>Bai Island</v>
      </c>
      <c r="I61" s="5">
        <f>(MID(C61,1,2) + MID(C61,3,2)/60 + MID(C61,5,2)/3600) * IF(MID(C61,7,1)="S",-1,1)</f>
        <v>5.7752777777777773</v>
      </c>
      <c r="J61" s="5">
        <f>(MID(C61,9,3) + MID(C61,12,2)/60 + MID(C61,14,2)/3600) * IF(MID(C61,16,1)="W",-1,1)</f>
        <v>118.10027777777778</v>
      </c>
    </row>
    <row r="62" spans="1:10" x14ac:dyDescent="0.25">
      <c r="A62" t="s">
        <v>109</v>
      </c>
      <c r="B62" t="s">
        <v>109</v>
      </c>
      <c r="C62" t="s">
        <v>129</v>
      </c>
      <c r="D62" t="str">
        <f t="shared" si="2"/>
        <v>TANJUNG_BIDADARI</v>
      </c>
      <c r="E62" t="str" cm="1">
        <f t="array" ref="E62">_xlfn.REDUCE(D62, _xlfn.SEQUENCE(ROWS(Abbreviations!$A$2:$A$11)), _xlfn.LAMBDA(_xlpm.text,_xlpm.i, SUBSTITUTE(_xlpm.text, INDEX(Abbreviations!$A$2:$A$11, _xlpm.i), INDEX(Abbreviations!$B$2:$B$11, _xlpm.i))))</f>
        <v>TJ_BIDADARI</v>
      </c>
      <c r="F62" t="s">
        <v>366</v>
      </c>
      <c r="G62" t="str">
        <f>B62</f>
        <v>Tanjung Bidadari</v>
      </c>
      <c r="H62" t="str">
        <f t="shared" si="1"/>
        <v>Tanjung Bidadari</v>
      </c>
      <c r="I62" s="5">
        <f>(MID(C62,1,2) + MID(C62,3,2)/60 + MID(C62,5,2)/3600) * IF(MID(C62,7,1)="S",-1,1)</f>
        <v>5.8244444444444445</v>
      </c>
      <c r="J62" s="5">
        <f>(MID(C62,9,3) + MID(C62,12,2)/60 + MID(C62,14,2)/3600) * IF(MID(C62,16,1)="W",-1,1)</f>
        <v>118.34916666666666</v>
      </c>
    </row>
    <row r="63" spans="1:10" x14ac:dyDescent="0.25">
      <c r="A63" t="s">
        <v>110</v>
      </c>
      <c r="B63" t="s">
        <v>110</v>
      </c>
      <c r="C63" t="s">
        <v>130</v>
      </c>
      <c r="D63" t="str">
        <f t="shared" si="2"/>
        <v>KUALA_KINABATANGAN_BESAR</v>
      </c>
      <c r="E63" t="str" cm="1">
        <f t="array" ref="E63">_xlfn.REDUCE(D63, _xlfn.SEQUENCE(ROWS(Abbreviations!$A$2:$A$11)), _xlfn.LAMBDA(_xlpm.text,_xlpm.i, SUBSTITUTE(_xlpm.text, INDEX(Abbreviations!$A$2:$A$11, _xlpm.i), INDEX(Abbreviations!$B$2:$B$11, _xlpm.i))))</f>
        <v>KUALA_KINABATANGAN_BESAR</v>
      </c>
      <c r="F63" t="s">
        <v>367</v>
      </c>
      <c r="G63" t="str">
        <f>B63</f>
        <v>Kuala Kinabatangan Besar</v>
      </c>
      <c r="H63" t="str">
        <f t="shared" si="1"/>
        <v>Kuala Kinabatangan Besar</v>
      </c>
      <c r="I63" s="5">
        <f>(MID(C63,1,2) + MID(C63,3,2)/60 + MID(C63,5,2)/3600) * IF(MID(C63,7,1)="S",-1,1)</f>
        <v>5.642777777777777</v>
      </c>
      <c r="J63" s="5">
        <f>(MID(C63,9,3) + MID(C63,12,2)/60 + MID(C63,14,2)/3600) * IF(MID(C63,16,1)="W",-1,1)</f>
        <v>118.6125</v>
      </c>
    </row>
    <row r="64" spans="1:10" x14ac:dyDescent="0.25">
      <c r="A64" t="s">
        <v>111</v>
      </c>
      <c r="B64" t="s">
        <v>111</v>
      </c>
      <c r="C64" t="s">
        <v>131</v>
      </c>
      <c r="D64" t="str">
        <f t="shared" si="2"/>
        <v>KAMPUNG_BILIT</v>
      </c>
      <c r="E64" t="str" cm="1">
        <f t="array" ref="E64">_xlfn.REDUCE(D64, _xlfn.SEQUENCE(ROWS(Abbreviations!$A$2:$A$11)), _xlfn.LAMBDA(_xlpm.text,_xlpm.i, SUBSTITUTE(_xlpm.text, INDEX(Abbreviations!$A$2:$A$11, _xlpm.i), INDEX(Abbreviations!$B$2:$B$11, _xlpm.i))))</f>
        <v>KG_BILIT</v>
      </c>
      <c r="F64" t="s">
        <v>368</v>
      </c>
      <c r="G64" t="str">
        <f>B64</f>
        <v>Kampung Bilit</v>
      </c>
      <c r="H64" t="str">
        <f t="shared" si="1"/>
        <v>Kampung Bilit</v>
      </c>
      <c r="I64" s="5">
        <f>(MID(C64,1,2) + MID(C64,3,2)/60 + MID(C64,5,2)/3600) * IF(MID(C64,7,1)="S",-1,1)</f>
        <v>5.4975000000000005</v>
      </c>
      <c r="J64" s="5">
        <f>(MID(C64,9,3) + MID(C64,12,2)/60 + MID(C64,14,2)/3600) * IF(MID(C64,16,1)="W",-1,1)</f>
        <v>118.20805555555556</v>
      </c>
    </row>
    <row r="65" spans="1:10" x14ac:dyDescent="0.25">
      <c r="A65" t="s">
        <v>112</v>
      </c>
      <c r="B65" t="s">
        <v>112</v>
      </c>
      <c r="C65" t="s">
        <v>132</v>
      </c>
      <c r="D65" t="str">
        <f t="shared" si="2"/>
        <v>SUNGAI_SEGUNTOR</v>
      </c>
      <c r="E65" t="str" cm="1">
        <f t="array" ref="E65">_xlfn.REDUCE(D65, _xlfn.SEQUENCE(ROWS(Abbreviations!$A$2:$A$11)), _xlfn.LAMBDA(_xlpm.text,_xlpm.i, SUBSTITUTE(_xlpm.text, INDEX(Abbreviations!$A$2:$A$11, _xlpm.i), INDEX(Abbreviations!$B$2:$B$11, _xlpm.i))))</f>
        <v>SG_SEGUNTOR</v>
      </c>
      <c r="F65" t="s">
        <v>369</v>
      </c>
      <c r="G65" t="str">
        <f>B65</f>
        <v>Sungai Seguntor</v>
      </c>
      <c r="H65" t="str">
        <f t="shared" si="1"/>
        <v>Sungai Seguntor</v>
      </c>
      <c r="I65" s="5">
        <f>(MID(C65,1,2) + MID(C65,3,2)/60 + MID(C65,5,2)/3600) * IF(MID(C65,7,1)="S",-1,1)</f>
        <v>5.8066666666666666</v>
      </c>
      <c r="J65" s="5">
        <f>(MID(C65,9,3) + MID(C65,12,2)/60 + MID(C65,14,2)/3600) * IF(MID(C65,16,1)="W",-1,1)</f>
        <v>117.99361111111111</v>
      </c>
    </row>
    <row r="66" spans="1:10" x14ac:dyDescent="0.25">
      <c r="A66" t="s">
        <v>113</v>
      </c>
      <c r="B66" t="s">
        <v>113</v>
      </c>
      <c r="C66" t="s">
        <v>133</v>
      </c>
      <c r="D66" t="str">
        <f t="shared" si="2"/>
        <v>KOTA_KINABATANGAN</v>
      </c>
      <c r="E66" t="str" cm="1">
        <f t="array" ref="E66">_xlfn.REDUCE(D66, _xlfn.SEQUENCE(ROWS(Abbreviations!$A$2:$A$11)), _xlfn.LAMBDA(_xlpm.text,_xlpm.i, SUBSTITUTE(_xlpm.text, INDEX(Abbreviations!$A$2:$A$11, _xlpm.i), INDEX(Abbreviations!$B$2:$B$11, _xlpm.i))))</f>
        <v>KOTA_KINABATANGAN</v>
      </c>
      <c r="F66" t="s">
        <v>370</v>
      </c>
      <c r="G66" t="str">
        <f>B66</f>
        <v>Kota Kinabatangan</v>
      </c>
      <c r="H66" t="str">
        <f t="shared" si="1"/>
        <v>Kota Kinabatangan</v>
      </c>
      <c r="I66" s="5">
        <f>(MID(C66,1,2) + MID(C66,3,2)/60 + MID(C66,5,2)/3600) * IF(MID(C66,7,1)="S",-1,1)</f>
        <v>5.5888888888888886</v>
      </c>
      <c r="J66" s="5">
        <f>(MID(C66,9,3) + MID(C66,12,2)/60 + MID(C66,14,2)/3600) * IF(MID(C66,16,1)="W",-1,1)</f>
        <v>117.845</v>
      </c>
    </row>
    <row r="67" spans="1:10" x14ac:dyDescent="0.25">
      <c r="A67" t="s">
        <v>114</v>
      </c>
      <c r="B67" t="s">
        <v>114</v>
      </c>
      <c r="C67" t="s">
        <v>134</v>
      </c>
      <c r="D67" t="str">
        <f t="shared" si="2"/>
        <v>KAMPUNG_KUALA_LOKAN</v>
      </c>
      <c r="E67" t="str" cm="1">
        <f t="array" ref="E67">_xlfn.REDUCE(D67, _xlfn.SEQUENCE(ROWS(Abbreviations!$A$2:$A$11)), _xlfn.LAMBDA(_xlpm.text,_xlpm.i, SUBSTITUTE(_xlpm.text, INDEX(Abbreviations!$A$2:$A$11, _xlpm.i), INDEX(Abbreviations!$B$2:$B$11, _xlpm.i))))</f>
        <v>KG_KUALA_LOKAN</v>
      </c>
      <c r="F67" t="s">
        <v>371</v>
      </c>
      <c r="G67" t="str">
        <f>B67</f>
        <v>Kampung Kuala Lokan</v>
      </c>
      <c r="H67" t="str">
        <f t="shared" ref="H67:H113" si="3">LEFT(G67,25)</f>
        <v>Kampung Kuala Lokan</v>
      </c>
      <c r="I67" s="5">
        <f t="shared" ref="I67:I113" si="4">(MID(C67,1,2) + MID(C67,3,2)/60 + MID(C67,5,2)/3600) * IF(MID(C67,7,1)="S",-1,1)</f>
        <v>5.4369444444444444</v>
      </c>
      <c r="J67" s="5">
        <f t="shared" ref="J67:J113" si="5">(MID(C67,9,3) + MID(C67,12,2)/60 + MID(C67,14,2)/3600) * IF(MID(C67,16,1)="W",-1,1)</f>
        <v>117.74861111111112</v>
      </c>
    </row>
    <row r="68" spans="1:10" x14ac:dyDescent="0.25">
      <c r="A68" t="s">
        <v>257</v>
      </c>
      <c r="B68" t="s">
        <v>257</v>
      </c>
      <c r="C68" t="s">
        <v>135</v>
      </c>
      <c r="D68" t="str">
        <f t="shared" si="2"/>
        <v>MILE_32_RD_JUNCTION</v>
      </c>
      <c r="E68" t="str" cm="1">
        <f t="array" ref="E68">_xlfn.REDUCE(D68, _xlfn.SEQUENCE(ROWS(Abbreviations!$A$2:$A$11)), _xlfn.LAMBDA(_xlpm.text,_xlpm.i, SUBSTITUTE(_xlpm.text, INDEX(Abbreviations!$A$2:$A$11, _xlpm.i), INDEX(Abbreviations!$B$2:$B$11, _xlpm.i))))</f>
        <v>MILE_32_RD_JUNCTION</v>
      </c>
      <c r="F68" t="s">
        <v>399</v>
      </c>
      <c r="G68" t="str">
        <f>B68</f>
        <v>Mile 32 Rd Junction</v>
      </c>
      <c r="H68" t="str">
        <f t="shared" si="3"/>
        <v>Mile 32 Rd Junction</v>
      </c>
      <c r="I68" s="5">
        <f t="shared" si="4"/>
        <v>5.7577777777777781</v>
      </c>
      <c r="J68" s="5">
        <f t="shared" si="5"/>
        <v>117.75861111111111</v>
      </c>
    </row>
    <row r="69" spans="1:10" x14ac:dyDescent="0.25">
      <c r="A69" t="s">
        <v>115</v>
      </c>
      <c r="B69" t="s">
        <v>115</v>
      </c>
      <c r="C69" t="s">
        <v>136</v>
      </c>
      <c r="D69" t="str">
        <f t="shared" si="2"/>
        <v>TELUPID</v>
      </c>
      <c r="E69" t="str" cm="1">
        <f t="array" ref="E69">_xlfn.REDUCE(D69, _xlfn.SEQUENCE(ROWS(Abbreviations!$A$2:$A$11)), _xlfn.LAMBDA(_xlpm.text,_xlpm.i, SUBSTITUTE(_xlpm.text, INDEX(Abbreviations!$A$2:$A$11, _xlpm.i), INDEX(Abbreviations!$B$2:$B$11, _xlpm.i))))</f>
        <v>TELUPID</v>
      </c>
      <c r="F69" t="s">
        <v>372</v>
      </c>
      <c r="G69" t="str">
        <f>B69</f>
        <v>Telupid</v>
      </c>
      <c r="H69" t="str">
        <f t="shared" si="3"/>
        <v>Telupid</v>
      </c>
      <c r="I69" s="5">
        <f t="shared" si="4"/>
        <v>5.6275000000000004</v>
      </c>
      <c r="J69" s="5">
        <f t="shared" si="5"/>
        <v>117.13055555555555</v>
      </c>
    </row>
    <row r="70" spans="1:10" x14ac:dyDescent="0.25">
      <c r="A70" t="s">
        <v>275</v>
      </c>
      <c r="B70" t="s">
        <v>275</v>
      </c>
      <c r="C70" t="s">
        <v>137</v>
      </c>
      <c r="D70" t="str">
        <f t="shared" si="2"/>
        <v>KAMPUNG_GUMGUM_LAUT</v>
      </c>
      <c r="E70" t="str" cm="1">
        <f t="array" ref="E70">_xlfn.REDUCE(D70, _xlfn.SEQUENCE(ROWS(Abbreviations!$A$2:$A$11)), _xlfn.LAMBDA(_xlpm.text,_xlpm.i, SUBSTITUTE(_xlpm.text, INDEX(Abbreviations!$A$2:$A$11, _xlpm.i), INDEX(Abbreviations!$B$2:$B$11, _xlpm.i))))</f>
        <v>KG_GUMGUM_LAUT</v>
      </c>
      <c r="F70" t="s">
        <v>373</v>
      </c>
      <c r="G70" t="str">
        <f>B70</f>
        <v>Kampung GumGum Laut</v>
      </c>
      <c r="H70" t="str">
        <f t="shared" si="3"/>
        <v>Kampung GumGum Laut</v>
      </c>
      <c r="I70" s="5">
        <f t="shared" si="4"/>
        <v>5.969444444444445</v>
      </c>
      <c r="J70" s="5">
        <f t="shared" si="5"/>
        <v>117.90972222222223</v>
      </c>
    </row>
    <row r="71" spans="1:10" x14ac:dyDescent="0.25">
      <c r="A71" t="s">
        <v>116</v>
      </c>
      <c r="B71" t="s">
        <v>116</v>
      </c>
      <c r="C71" t="s">
        <v>138</v>
      </c>
      <c r="D71" t="str">
        <f t="shared" si="2"/>
        <v>KAMPUNG_SEMAWANG</v>
      </c>
      <c r="E71" t="str" cm="1">
        <f t="array" ref="E71">_xlfn.REDUCE(D71, _xlfn.SEQUENCE(ROWS(Abbreviations!$A$2:$A$11)), _xlfn.LAMBDA(_xlpm.text,_xlpm.i, SUBSTITUTE(_xlpm.text, INDEX(Abbreviations!$A$2:$A$11, _xlpm.i), INDEX(Abbreviations!$B$2:$B$11, _xlpm.i))))</f>
        <v>KG_SEMAWANG</v>
      </c>
      <c r="F71" t="s">
        <v>374</v>
      </c>
      <c r="G71" t="str">
        <f>B71</f>
        <v>Kampung Semawang</v>
      </c>
      <c r="H71" t="str">
        <f t="shared" si="3"/>
        <v>Kampung Semawang</v>
      </c>
      <c r="I71" s="5">
        <f t="shared" si="4"/>
        <v>5.9197222222222221</v>
      </c>
      <c r="J71" s="5">
        <f t="shared" si="5"/>
        <v>117.76222222222222</v>
      </c>
    </row>
    <row r="72" spans="1:10" x14ac:dyDescent="0.25">
      <c r="A72" t="s">
        <v>117</v>
      </c>
      <c r="B72" t="s">
        <v>117</v>
      </c>
      <c r="C72" t="s">
        <v>139</v>
      </c>
      <c r="D72" t="str">
        <f t="shared" si="2"/>
        <v>BELURAN</v>
      </c>
      <c r="E72" t="str" cm="1">
        <f t="array" ref="E72">_xlfn.REDUCE(D72, _xlfn.SEQUENCE(ROWS(Abbreviations!$A$2:$A$11)), _xlfn.LAMBDA(_xlpm.text,_xlpm.i, SUBSTITUTE(_xlpm.text, INDEX(Abbreviations!$A$2:$A$11, _xlpm.i), INDEX(Abbreviations!$B$2:$B$11, _xlpm.i))))</f>
        <v>BELURAN</v>
      </c>
      <c r="F72" t="s">
        <v>375</v>
      </c>
      <c r="G72" t="str">
        <f>B72</f>
        <v>Beluran</v>
      </c>
      <c r="H72" t="str">
        <f t="shared" si="3"/>
        <v>Beluran</v>
      </c>
      <c r="I72" s="5">
        <f t="shared" si="4"/>
        <v>5.8949999999999996</v>
      </c>
      <c r="J72" s="5">
        <f t="shared" si="5"/>
        <v>117.55694444444444</v>
      </c>
    </row>
    <row r="73" spans="1:10" x14ac:dyDescent="0.25">
      <c r="A73" t="s">
        <v>118</v>
      </c>
      <c r="B73" t="s">
        <v>118</v>
      </c>
      <c r="C73" t="s">
        <v>140</v>
      </c>
      <c r="D73" t="str">
        <f t="shared" si="2"/>
        <v>KENAWI_ISLAND</v>
      </c>
      <c r="E73" t="str" cm="1">
        <f t="array" ref="E73">_xlfn.REDUCE(D73, _xlfn.SEQUENCE(ROWS(Abbreviations!$A$2:$A$11)), _xlfn.LAMBDA(_xlpm.text,_xlpm.i, SUBSTITUTE(_xlpm.text, INDEX(Abbreviations!$A$2:$A$11, _xlpm.i), INDEX(Abbreviations!$B$2:$B$11, _xlpm.i))))</f>
        <v>KENAWI_IS</v>
      </c>
      <c r="F73" t="s">
        <v>376</v>
      </c>
      <c r="G73" t="str">
        <f>B73</f>
        <v>Kenawi Island</v>
      </c>
      <c r="H73" t="str">
        <f t="shared" si="3"/>
        <v>Kenawi Island</v>
      </c>
      <c r="I73" s="5">
        <f t="shared" si="4"/>
        <v>5.9883333333333333</v>
      </c>
      <c r="J73" s="5">
        <f t="shared" si="5"/>
        <v>117.70194444444445</v>
      </c>
    </row>
    <row r="74" spans="1:10" x14ac:dyDescent="0.25">
      <c r="A74" t="s">
        <v>119</v>
      </c>
      <c r="B74" t="s">
        <v>119</v>
      </c>
      <c r="C74" t="s">
        <v>222</v>
      </c>
      <c r="D74" t="str">
        <f t="shared" si="2"/>
        <v>KAMPUNG_SUNGAI-SUNGAI</v>
      </c>
      <c r="E74" t="str" cm="1">
        <f t="array" ref="E74">_xlfn.REDUCE(D74, _xlfn.SEQUENCE(ROWS(Abbreviations!$A$2:$A$11)), _xlfn.LAMBDA(_xlpm.text,_xlpm.i, SUBSTITUTE(_xlpm.text, INDEX(Abbreviations!$A$2:$A$11, _xlpm.i), INDEX(Abbreviations!$B$2:$B$11, _xlpm.i))))</f>
        <v>KG_SG-SG</v>
      </c>
      <c r="F74" t="s">
        <v>377</v>
      </c>
      <c r="G74" t="str">
        <f>B74</f>
        <v>Kampung Sungai-Sungai</v>
      </c>
      <c r="H74" t="str">
        <f t="shared" si="3"/>
        <v>Kampung Sungai-Sungai</v>
      </c>
      <c r="I74" s="5">
        <f t="shared" si="4"/>
        <v>6.2508333333333335</v>
      </c>
      <c r="J74" s="5">
        <f t="shared" si="5"/>
        <v>117.35111111111111</v>
      </c>
    </row>
    <row r="75" spans="1:10" x14ac:dyDescent="0.25">
      <c r="A75" t="s">
        <v>120</v>
      </c>
      <c r="B75" t="s">
        <v>120</v>
      </c>
      <c r="C75" t="s">
        <v>141</v>
      </c>
      <c r="D75" t="str">
        <f t="shared" si="2"/>
        <v>KAMPUNG_TERUSAN</v>
      </c>
      <c r="E75" t="str" cm="1">
        <f t="array" ref="E75">_xlfn.REDUCE(D75, _xlfn.SEQUENCE(ROWS(Abbreviations!$A$2:$A$11)), _xlfn.LAMBDA(_xlpm.text,_xlpm.i, SUBSTITUTE(_xlpm.text, INDEX(Abbreviations!$A$2:$A$11, _xlpm.i), INDEX(Abbreviations!$B$2:$B$11, _xlpm.i))))</f>
        <v>KG_TERUSAN</v>
      </c>
      <c r="F75" t="s">
        <v>378</v>
      </c>
      <c r="G75" t="str">
        <f>B75</f>
        <v>Kampung Terusan</v>
      </c>
      <c r="H75" t="str">
        <f t="shared" si="3"/>
        <v>Kampung Terusan</v>
      </c>
      <c r="I75" s="5">
        <f t="shared" si="4"/>
        <v>6.4258333333333333</v>
      </c>
      <c r="J75" s="5">
        <f t="shared" si="5"/>
        <v>117.68722222222223</v>
      </c>
    </row>
    <row r="76" spans="1:10" x14ac:dyDescent="0.25">
      <c r="A76" t="s">
        <v>121</v>
      </c>
      <c r="B76" t="s">
        <v>121</v>
      </c>
      <c r="C76" t="s">
        <v>142</v>
      </c>
      <c r="D76" t="str">
        <f t="shared" si="2"/>
        <v>SELINGAN_ISLAND</v>
      </c>
      <c r="E76" t="str" cm="1">
        <f t="array" ref="E76">_xlfn.REDUCE(D76, _xlfn.SEQUENCE(ROWS(Abbreviations!$A$2:$A$11)), _xlfn.LAMBDA(_xlpm.text,_xlpm.i, SUBSTITUTE(_xlpm.text, INDEX(Abbreviations!$A$2:$A$11, _xlpm.i), INDEX(Abbreviations!$B$2:$B$11, _xlpm.i))))</f>
        <v>SELINGAN_IS</v>
      </c>
      <c r="F76" t="s">
        <v>379</v>
      </c>
      <c r="G76" t="str">
        <f>B76</f>
        <v>Selingan Island</v>
      </c>
      <c r="H76" t="str">
        <f t="shared" si="3"/>
        <v>Selingan Island</v>
      </c>
      <c r="I76" s="5">
        <f t="shared" si="4"/>
        <v>6.1741666666666672</v>
      </c>
      <c r="J76" s="5">
        <f t="shared" si="5"/>
        <v>118.06055555555555</v>
      </c>
    </row>
    <row r="77" spans="1:10" x14ac:dyDescent="0.25">
      <c r="A77" t="s">
        <v>122</v>
      </c>
      <c r="B77" t="s">
        <v>122</v>
      </c>
      <c r="C77" t="s">
        <v>143</v>
      </c>
      <c r="D77" t="str">
        <f t="shared" si="2"/>
        <v>LANKAYAN_ISLAND</v>
      </c>
      <c r="E77" t="str" cm="1">
        <f t="array" ref="E77">_xlfn.REDUCE(D77, _xlfn.SEQUENCE(ROWS(Abbreviations!$A$2:$A$11)), _xlfn.LAMBDA(_xlpm.text,_xlpm.i, SUBSTITUTE(_xlpm.text, INDEX(Abbreviations!$A$2:$A$11, _xlpm.i), INDEX(Abbreviations!$B$2:$B$11, _xlpm.i))))</f>
        <v>LANKAYAN_IS</v>
      </c>
      <c r="F77" t="s">
        <v>380</v>
      </c>
      <c r="G77" t="str">
        <f>B77</f>
        <v>Lankayan Island</v>
      </c>
      <c r="H77" t="str">
        <f t="shared" si="3"/>
        <v>Lankayan Island</v>
      </c>
      <c r="I77" s="5">
        <f t="shared" si="4"/>
        <v>6.5</v>
      </c>
      <c r="J77" s="5">
        <f t="shared" si="5"/>
        <v>117.91666666666667</v>
      </c>
    </row>
    <row r="78" spans="1:10" x14ac:dyDescent="0.25">
      <c r="A78" t="s">
        <v>123</v>
      </c>
      <c r="B78" t="s">
        <v>123</v>
      </c>
      <c r="C78" t="s">
        <v>144</v>
      </c>
      <c r="D78" t="str">
        <f t="shared" si="2"/>
        <v>SOUTH_OF_BERHALA_ISLAND</v>
      </c>
      <c r="E78" t="str" cm="1">
        <f t="array" ref="E78">_xlfn.REDUCE(D78, _xlfn.SEQUENCE(ROWS(Abbreviations!$A$2:$A$11)), _xlfn.LAMBDA(_xlpm.text,_xlpm.i, SUBSTITUTE(_xlpm.text, INDEX(Abbreviations!$A$2:$A$11, _xlpm.i), INDEX(Abbreviations!$B$2:$B$11, _xlpm.i))))</f>
        <v>SOUTH_BERHALA_IS</v>
      </c>
      <c r="F78" t="s">
        <v>381</v>
      </c>
      <c r="G78" t="str">
        <f>B78</f>
        <v>South of Berhala Island</v>
      </c>
      <c r="H78" t="str">
        <f t="shared" si="3"/>
        <v>South of Berhala Island</v>
      </c>
      <c r="I78" s="5">
        <f t="shared" si="4"/>
        <v>5.8641666666666667</v>
      </c>
      <c r="J78" s="5">
        <f t="shared" si="5"/>
        <v>118.14833333333334</v>
      </c>
    </row>
    <row r="79" spans="1:10" x14ac:dyDescent="0.25">
      <c r="A79" t="s">
        <v>124</v>
      </c>
      <c r="B79" t="s">
        <v>124</v>
      </c>
      <c r="C79" t="s">
        <v>145</v>
      </c>
      <c r="D79" t="str">
        <f t="shared" si="2"/>
        <v>LUANG_MANIS</v>
      </c>
      <c r="E79" t="str" cm="1">
        <f t="array" ref="E79">_xlfn.REDUCE(D79, _xlfn.SEQUENCE(ROWS(Abbreviations!$A$2:$A$11)), _xlfn.LAMBDA(_xlpm.text,_xlpm.i, SUBSTITUTE(_xlpm.text, INDEX(Abbreviations!$A$2:$A$11, _xlpm.i), INDEX(Abbreviations!$B$2:$B$11, _xlpm.i))))</f>
        <v>LUANG_MANIS</v>
      </c>
      <c r="F79" t="s">
        <v>382</v>
      </c>
      <c r="G79" t="str">
        <f>B79</f>
        <v>Luang Manis</v>
      </c>
      <c r="H79" t="str">
        <f t="shared" si="3"/>
        <v>Luang Manis</v>
      </c>
      <c r="I79" s="5">
        <f t="shared" si="4"/>
        <v>5.666666666666667</v>
      </c>
      <c r="J79" s="5">
        <f t="shared" si="5"/>
        <v>117.655</v>
      </c>
    </row>
    <row r="80" spans="1:10" x14ac:dyDescent="0.25">
      <c r="A80" t="s">
        <v>125</v>
      </c>
      <c r="B80" t="s">
        <v>125</v>
      </c>
      <c r="C80" t="s">
        <v>146</v>
      </c>
      <c r="D80" t="str">
        <f t="shared" si="2"/>
        <v>PAMAGUAN_PRIMARY_SCHOOL</v>
      </c>
      <c r="E80" t="str" cm="1">
        <f t="array" ref="E80">_xlfn.REDUCE(D80, _xlfn.SEQUENCE(ROWS(Abbreviations!$A$2:$A$11)), _xlfn.LAMBDA(_xlpm.text,_xlpm.i, SUBSTITUTE(_xlpm.text, INDEX(Abbreviations!$A$2:$A$11, _xlpm.i), INDEX(Abbreviations!$B$2:$B$11, _xlpm.i))))</f>
        <v>PAMAGUAN_PRIMARY_SCHOOL</v>
      </c>
      <c r="F80" t="s">
        <v>396</v>
      </c>
      <c r="G80" t="str">
        <f>B80</f>
        <v>Pamaguan Primary School</v>
      </c>
      <c r="H80" t="str">
        <f t="shared" si="3"/>
        <v>Pamaguan Primary School</v>
      </c>
      <c r="I80" s="5">
        <f t="shared" si="4"/>
        <v>5.9575000000000005</v>
      </c>
      <c r="J80" s="5">
        <f t="shared" si="5"/>
        <v>118.06444444444445</v>
      </c>
    </row>
    <row r="81" spans="1:10" x14ac:dyDescent="0.25">
      <c r="A81" t="s">
        <v>147</v>
      </c>
      <c r="B81" t="s">
        <v>147</v>
      </c>
      <c r="C81" t="s">
        <v>187</v>
      </c>
      <c r="D81" t="str">
        <f t="shared" si="2"/>
        <v>PORT_WELD</v>
      </c>
      <c r="E81" t="str" cm="1">
        <f t="array" ref="E81">_xlfn.REDUCE(D81, _xlfn.SEQUENCE(ROWS(Abbreviations!$A$2:$A$11)), _xlfn.LAMBDA(_xlpm.text,_xlpm.i, SUBSTITUTE(_xlpm.text, INDEX(Abbreviations!$A$2:$A$11, _xlpm.i), INDEX(Abbreviations!$B$2:$B$11, _xlpm.i))))</f>
        <v>PORT_WELD</v>
      </c>
      <c r="F81" t="s">
        <v>317</v>
      </c>
      <c r="G81" t="str">
        <f>B81</f>
        <v>Port Weld</v>
      </c>
      <c r="H81" t="str">
        <f t="shared" si="3"/>
        <v>Port Weld</v>
      </c>
      <c r="I81" s="5">
        <f t="shared" si="4"/>
        <v>4.8380555555555551</v>
      </c>
      <c r="J81" s="5">
        <f t="shared" si="5"/>
        <v>100.62583333333333</v>
      </c>
    </row>
    <row r="82" spans="1:10" x14ac:dyDescent="0.25">
      <c r="A82" t="s">
        <v>148</v>
      </c>
      <c r="B82" t="s">
        <v>148</v>
      </c>
      <c r="C82" t="s">
        <v>188</v>
      </c>
      <c r="D82" t="str">
        <f t="shared" si="2"/>
        <v>TANJUNG_PIANDANG</v>
      </c>
      <c r="E82" t="str" cm="1">
        <f t="array" ref="E82">_xlfn.REDUCE(D82, _xlfn.SEQUENCE(ROWS(Abbreviations!$A$2:$A$11)), _xlfn.LAMBDA(_xlpm.text,_xlpm.i, SUBSTITUTE(_xlpm.text, INDEX(Abbreviations!$A$2:$A$11, _xlpm.i), INDEX(Abbreviations!$B$2:$B$11, _xlpm.i))))</f>
        <v>TJ_PIANDANG</v>
      </c>
      <c r="F82" t="s">
        <v>316</v>
      </c>
      <c r="G82" t="str">
        <f>B82</f>
        <v>Tanjung Piandang</v>
      </c>
      <c r="H82" t="str">
        <f t="shared" si="3"/>
        <v>Tanjung Piandang</v>
      </c>
      <c r="I82" s="5">
        <f t="shared" si="4"/>
        <v>5.0880555555555551</v>
      </c>
      <c r="J82" s="5">
        <f t="shared" si="5"/>
        <v>100.36055555555555</v>
      </c>
    </row>
    <row r="83" spans="1:10" x14ac:dyDescent="0.25">
      <c r="A83" t="s">
        <v>149</v>
      </c>
      <c r="B83" t="s">
        <v>149</v>
      </c>
      <c r="C83" t="s">
        <v>189</v>
      </c>
      <c r="D83" t="str">
        <f t="shared" si="2"/>
        <v>SOUTH_OF_PULAU_AMAN</v>
      </c>
      <c r="E83" t="str" cm="1">
        <f t="array" ref="E83">_xlfn.REDUCE(D83, _xlfn.SEQUENCE(ROWS(Abbreviations!$A$2:$A$11)), _xlfn.LAMBDA(_xlpm.text,_xlpm.i, SUBSTITUTE(_xlpm.text, INDEX(Abbreviations!$A$2:$A$11, _xlpm.i), INDEX(Abbreviations!$B$2:$B$11, _xlpm.i))))</f>
        <v>SOUTH_P_AMAN</v>
      </c>
      <c r="F83" t="s">
        <v>320</v>
      </c>
      <c r="G83" t="str">
        <f>B83</f>
        <v>South of Pulau Aman</v>
      </c>
      <c r="H83" t="str">
        <f t="shared" si="3"/>
        <v>South of Pulau Aman</v>
      </c>
      <c r="I83" s="5">
        <f t="shared" si="4"/>
        <v>5.2586111111111107</v>
      </c>
      <c r="J83" s="5">
        <f t="shared" si="5"/>
        <v>100.38416666666667</v>
      </c>
    </row>
    <row r="84" spans="1:10" x14ac:dyDescent="0.25">
      <c r="A84" t="s">
        <v>150</v>
      </c>
      <c r="B84" t="s">
        <v>150</v>
      </c>
      <c r="C84" t="s">
        <v>190</v>
      </c>
      <c r="D84" t="str">
        <f t="shared" si="2"/>
        <v>KEDAH_PEAK_WEST</v>
      </c>
      <c r="E84" t="str" cm="1">
        <f t="array" ref="E84">_xlfn.REDUCE(D84, _xlfn.SEQUENCE(ROWS(Abbreviations!$A$2:$A$11)), _xlfn.LAMBDA(_xlpm.text,_xlpm.i, SUBSTITUTE(_xlpm.text, INDEX(Abbreviations!$A$2:$A$11, _xlpm.i), INDEX(Abbreviations!$B$2:$B$11, _xlpm.i))))</f>
        <v>KEDAH_PEAK_WEST</v>
      </c>
      <c r="F84" t="s">
        <v>315</v>
      </c>
      <c r="G84" t="str">
        <f>B84</f>
        <v>Kedah Peak West</v>
      </c>
      <c r="H84" t="str">
        <f t="shared" si="3"/>
        <v>Kedah Peak West</v>
      </c>
      <c r="I84" s="5">
        <f t="shared" si="4"/>
        <v>5.743611111111111</v>
      </c>
      <c r="J84" s="5">
        <f t="shared" si="5"/>
        <v>100.35694444444444</v>
      </c>
    </row>
    <row r="85" spans="1:10" x14ac:dyDescent="0.25">
      <c r="A85" t="s">
        <v>151</v>
      </c>
      <c r="B85" t="s">
        <v>151</v>
      </c>
      <c r="C85" t="s">
        <v>191</v>
      </c>
      <c r="D85" t="str">
        <f t="shared" si="2"/>
        <v>KUALA_SUNGAI_MUDA</v>
      </c>
      <c r="E85" t="str" cm="1">
        <f t="array" ref="E85">_xlfn.REDUCE(D85, _xlfn.SEQUENCE(ROWS(Abbreviations!$A$2:$A$11)), _xlfn.LAMBDA(_xlpm.text,_xlpm.i, SUBSTITUTE(_xlpm.text, INDEX(Abbreviations!$A$2:$A$11, _xlpm.i), INDEX(Abbreviations!$B$2:$B$11, _xlpm.i))))</f>
        <v>KUALA_SG_MUDA</v>
      </c>
      <c r="F85" t="s">
        <v>314</v>
      </c>
      <c r="G85" t="str">
        <f>B85</f>
        <v>Kuala Sungai Muda</v>
      </c>
      <c r="H85" t="str">
        <f t="shared" si="3"/>
        <v>Kuala Sungai Muda</v>
      </c>
      <c r="I85" s="5">
        <f t="shared" si="4"/>
        <v>5.5774999999999997</v>
      </c>
      <c r="J85" s="5">
        <f t="shared" si="5"/>
        <v>100.33583333333333</v>
      </c>
    </row>
    <row r="86" spans="1:10" x14ac:dyDescent="0.25">
      <c r="A86" t="s">
        <v>152</v>
      </c>
      <c r="B86" t="s">
        <v>152</v>
      </c>
      <c r="C86" t="s">
        <v>192</v>
      </c>
      <c r="D86" t="str">
        <f t="shared" si="2"/>
        <v>NORTH_OF_GEORGE_TOWN</v>
      </c>
      <c r="E86" t="str" cm="1">
        <f t="array" ref="E86">_xlfn.REDUCE(D86, _xlfn.SEQUENCE(ROWS(Abbreviations!$A$2:$A$11)), _xlfn.LAMBDA(_xlpm.text,_xlpm.i, SUBSTITUTE(_xlpm.text, INDEX(Abbreviations!$A$2:$A$11, _xlpm.i), INDEX(Abbreviations!$B$2:$B$11, _xlpm.i))))</f>
        <v>NORTH_GEORGE_TOWN</v>
      </c>
      <c r="F86" t="s">
        <v>313</v>
      </c>
      <c r="G86" t="str">
        <f>B86</f>
        <v>North of George Town</v>
      </c>
      <c r="H86" t="str">
        <f t="shared" si="3"/>
        <v>North of George Town</v>
      </c>
      <c r="I86" s="5">
        <f t="shared" si="4"/>
        <v>5.464722222222222</v>
      </c>
      <c r="J86" s="5">
        <f t="shared" si="5"/>
        <v>100.30722222222222</v>
      </c>
    </row>
    <row r="87" spans="1:10" x14ac:dyDescent="0.25">
      <c r="A87" t="s">
        <v>153</v>
      </c>
      <c r="B87" t="s">
        <v>153</v>
      </c>
      <c r="C87" t="s">
        <v>154</v>
      </c>
      <c r="D87" t="str">
        <f t="shared" si="2"/>
        <v>WEST_OF_PULAU_GAYA</v>
      </c>
      <c r="E87" t="str" cm="1">
        <f t="array" ref="E87">_xlfn.REDUCE(D87, _xlfn.SEQUENCE(ROWS(Abbreviations!$A$2:$A$11)), _xlfn.LAMBDA(_xlpm.text,_xlpm.i, SUBSTITUTE(_xlpm.text, INDEX(Abbreviations!$A$2:$A$11, _xlpm.i), INDEX(Abbreviations!$B$2:$B$11, _xlpm.i))))</f>
        <v>WEST_P_GAYA</v>
      </c>
      <c r="F87" t="s">
        <v>312</v>
      </c>
      <c r="G87" t="str">
        <f>B87</f>
        <v>West of Pulau Gaya</v>
      </c>
      <c r="H87" t="str">
        <f t="shared" si="3"/>
        <v>West of Pulau Gaya</v>
      </c>
      <c r="I87" s="5">
        <f t="shared" si="4"/>
        <v>6.05</v>
      </c>
      <c r="J87" s="5">
        <f t="shared" si="5"/>
        <v>116</v>
      </c>
    </row>
    <row r="88" spans="1:10" x14ac:dyDescent="0.25">
      <c r="A88" t="s">
        <v>155</v>
      </c>
      <c r="B88" t="s">
        <v>155</v>
      </c>
      <c r="C88" t="s">
        <v>156</v>
      </c>
      <c r="D88" t="str">
        <f t="shared" si="2"/>
        <v>PULAU_SULUG</v>
      </c>
      <c r="E88" t="str" cm="1">
        <f t="array" ref="E88">_xlfn.REDUCE(D88, _xlfn.SEQUENCE(ROWS(Abbreviations!$A$2:$A$11)), _xlfn.LAMBDA(_xlpm.text,_xlpm.i, SUBSTITUTE(_xlpm.text, INDEX(Abbreviations!$A$2:$A$11, _xlpm.i), INDEX(Abbreviations!$B$2:$B$11, _xlpm.i))))</f>
        <v>P_SULUG</v>
      </c>
      <c r="F88" t="s">
        <v>310</v>
      </c>
      <c r="G88" t="str">
        <f>B88</f>
        <v>Pulau Sulug</v>
      </c>
      <c r="H88" t="str">
        <f t="shared" si="3"/>
        <v>Pulau Sulug</v>
      </c>
      <c r="I88" s="5">
        <f t="shared" si="4"/>
        <v>5.9611111111111112</v>
      </c>
      <c r="J88" s="5">
        <f t="shared" si="5"/>
        <v>115.99166666666667</v>
      </c>
    </row>
    <row r="89" spans="1:10" x14ac:dyDescent="0.25">
      <c r="A89" t="s">
        <v>157</v>
      </c>
      <c r="B89" t="s">
        <v>157</v>
      </c>
      <c r="C89" t="s">
        <v>158</v>
      </c>
      <c r="D89" t="str">
        <f t="shared" si="2"/>
        <v>PULAU_TIGA</v>
      </c>
      <c r="E89" t="str" cm="1">
        <f t="array" ref="E89">_xlfn.REDUCE(D89, _xlfn.SEQUENCE(ROWS(Abbreviations!$A$2:$A$11)), _xlfn.LAMBDA(_xlpm.text,_xlpm.i, SUBSTITUTE(_xlpm.text, INDEX(Abbreviations!$A$2:$A$11, _xlpm.i), INDEX(Abbreviations!$B$2:$B$11, _xlpm.i))))</f>
        <v>P_TIGA</v>
      </c>
      <c r="F89" t="s">
        <v>311</v>
      </c>
      <c r="G89" t="str">
        <f>B89</f>
        <v>Pulau Tiga</v>
      </c>
      <c r="H89" t="str">
        <f t="shared" si="3"/>
        <v>Pulau Tiga</v>
      </c>
      <c r="I89" s="5">
        <f t="shared" si="4"/>
        <v>5.75</v>
      </c>
      <c r="J89" s="5">
        <f t="shared" si="5"/>
        <v>115.65833333333335</v>
      </c>
    </row>
    <row r="90" spans="1:10" x14ac:dyDescent="0.25">
      <c r="A90" t="s">
        <v>159</v>
      </c>
      <c r="B90" t="s">
        <v>159</v>
      </c>
      <c r="C90" t="s">
        <v>160</v>
      </c>
      <c r="D90" t="str">
        <f t="shared" si="2"/>
        <v>KUALA_PENYU</v>
      </c>
      <c r="E90" t="str" cm="1">
        <f t="array" ref="E90">_xlfn.REDUCE(D90, _xlfn.SEQUENCE(ROWS(Abbreviations!$A$2:$A$11)), _xlfn.LAMBDA(_xlpm.text,_xlpm.i, SUBSTITUTE(_xlpm.text, INDEX(Abbreviations!$A$2:$A$11, _xlpm.i), INDEX(Abbreviations!$B$2:$B$11, _xlpm.i))))</f>
        <v>KUALA_PENYU</v>
      </c>
      <c r="F90" t="s">
        <v>383</v>
      </c>
      <c r="G90" t="str">
        <f>B90</f>
        <v>Kuala Penyu</v>
      </c>
      <c r="H90" t="str">
        <f t="shared" si="3"/>
        <v>Kuala Penyu</v>
      </c>
      <c r="I90" s="5">
        <f t="shared" si="4"/>
        <v>5.5666666666666664</v>
      </c>
      <c r="J90" s="5">
        <f t="shared" si="5"/>
        <v>115.6</v>
      </c>
    </row>
    <row r="91" spans="1:10" x14ac:dyDescent="0.25">
      <c r="A91" t="s">
        <v>161</v>
      </c>
      <c r="B91" t="s">
        <v>161</v>
      </c>
      <c r="C91" t="s">
        <v>162</v>
      </c>
      <c r="D91" t="str">
        <f t="shared" si="2"/>
        <v>BONGAWAN</v>
      </c>
      <c r="E91" t="str" cm="1">
        <f t="array" ref="E91">_xlfn.REDUCE(D91, _xlfn.SEQUENCE(ROWS(Abbreviations!$A$2:$A$11)), _xlfn.LAMBDA(_xlpm.text,_xlpm.i, SUBSTITUTE(_xlpm.text, INDEX(Abbreviations!$A$2:$A$11, _xlpm.i), INDEX(Abbreviations!$B$2:$B$11, _xlpm.i))))</f>
        <v>BONGAWAN</v>
      </c>
      <c r="F91" t="s">
        <v>384</v>
      </c>
      <c r="G91" t="str">
        <f>B91</f>
        <v>Bongawan</v>
      </c>
      <c r="H91" t="str">
        <f t="shared" si="3"/>
        <v>Bongawan</v>
      </c>
      <c r="I91" s="5">
        <f t="shared" si="4"/>
        <v>5.5388888888888888</v>
      </c>
      <c r="J91" s="5">
        <f t="shared" si="5"/>
        <v>115.85777777777777</v>
      </c>
    </row>
    <row r="92" spans="1:10" x14ac:dyDescent="0.25">
      <c r="A92" t="s">
        <v>163</v>
      </c>
      <c r="B92" t="s">
        <v>163</v>
      </c>
      <c r="C92" t="s">
        <v>164</v>
      </c>
      <c r="D92" t="str">
        <f t="shared" ref="D92:D113" si="6">SUBSTITUTE(UPPER(A92), " ", "_")</f>
        <v>EAST_OF_PAPAR</v>
      </c>
      <c r="E92" t="str" cm="1">
        <f t="array" ref="E92">_xlfn.REDUCE(D92, _xlfn.SEQUENCE(ROWS(Abbreviations!$A$2:$A$11)), _xlfn.LAMBDA(_xlpm.text,_xlpm.i, SUBSTITUTE(_xlpm.text, INDEX(Abbreviations!$A$2:$A$11, _xlpm.i), INDEX(Abbreviations!$B$2:$B$11, _xlpm.i))))</f>
        <v>EAST_PAPAR</v>
      </c>
      <c r="F92" t="s">
        <v>385</v>
      </c>
      <c r="G92" t="str">
        <f>B92</f>
        <v>East of Papar</v>
      </c>
      <c r="H92" t="str">
        <f t="shared" si="3"/>
        <v>East of Papar</v>
      </c>
      <c r="I92" s="5">
        <f t="shared" si="4"/>
        <v>5.7</v>
      </c>
      <c r="J92" s="5">
        <f t="shared" si="5"/>
        <v>116.01666666666667</v>
      </c>
    </row>
    <row r="93" spans="1:10" x14ac:dyDescent="0.25">
      <c r="A93" t="s">
        <v>165</v>
      </c>
      <c r="B93" t="s">
        <v>165</v>
      </c>
      <c r="C93" t="s">
        <v>166</v>
      </c>
      <c r="D93" t="str">
        <f t="shared" si="6"/>
        <v>EAST_OF_KAWANG</v>
      </c>
      <c r="E93" t="str" cm="1">
        <f t="array" ref="E93">_xlfn.REDUCE(D93, _xlfn.SEQUENCE(ROWS(Abbreviations!$A$2:$A$11)), _xlfn.LAMBDA(_xlpm.text,_xlpm.i, SUBSTITUTE(_xlpm.text, INDEX(Abbreviations!$A$2:$A$11, _xlpm.i), INDEX(Abbreviations!$B$2:$B$11, _xlpm.i))))</f>
        <v>EAST_KAWANG</v>
      </c>
      <c r="F93" t="s">
        <v>386</v>
      </c>
      <c r="G93" t="str">
        <f>B93</f>
        <v>East of Kawang</v>
      </c>
      <c r="H93" t="str">
        <f t="shared" si="3"/>
        <v>East of Kawang</v>
      </c>
      <c r="I93" s="5">
        <f t="shared" si="4"/>
        <v>5.7666666666666666</v>
      </c>
      <c r="J93" s="5">
        <f t="shared" si="5"/>
        <v>116.05</v>
      </c>
    </row>
    <row r="94" spans="1:10" x14ac:dyDescent="0.25">
      <c r="A94" t="s">
        <v>167</v>
      </c>
      <c r="B94" t="s">
        <v>167</v>
      </c>
      <c r="C94" t="s">
        <v>168</v>
      </c>
      <c r="D94" t="str">
        <f t="shared" si="6"/>
        <v>EAST_OF_KINARUT_TOWN</v>
      </c>
      <c r="E94" t="str" cm="1">
        <f t="array" ref="E94">_xlfn.REDUCE(D94, _xlfn.SEQUENCE(ROWS(Abbreviations!$A$2:$A$11)), _xlfn.LAMBDA(_xlpm.text,_xlpm.i, SUBSTITUTE(_xlpm.text, INDEX(Abbreviations!$A$2:$A$11, _xlpm.i), INDEX(Abbreviations!$B$2:$B$11, _xlpm.i))))</f>
        <v>EAST_KINARUT_TOWN</v>
      </c>
      <c r="F94" t="s">
        <v>387</v>
      </c>
      <c r="G94" t="str">
        <f>B94</f>
        <v>East of Kinarut Town</v>
      </c>
      <c r="H94" t="str">
        <f t="shared" si="3"/>
        <v>East of Kinarut Town</v>
      </c>
      <c r="I94" s="5">
        <f t="shared" si="4"/>
        <v>5.8183333333333334</v>
      </c>
      <c r="J94" s="5">
        <f t="shared" si="5"/>
        <v>116.07194444444444</v>
      </c>
    </row>
    <row r="95" spans="1:10" x14ac:dyDescent="0.25">
      <c r="A95" t="s">
        <v>169</v>
      </c>
      <c r="B95" t="s">
        <v>169</v>
      </c>
      <c r="C95" t="s">
        <v>170</v>
      </c>
      <c r="D95" t="str">
        <f t="shared" si="6"/>
        <v>KEPAYAN</v>
      </c>
      <c r="E95" t="str" cm="1">
        <f t="array" ref="E95">_xlfn.REDUCE(D95, _xlfn.SEQUENCE(ROWS(Abbreviations!$A$2:$A$11)), _xlfn.LAMBDA(_xlpm.text,_xlpm.i, SUBSTITUTE(_xlpm.text, INDEX(Abbreviations!$A$2:$A$11, _xlpm.i), INDEX(Abbreviations!$B$2:$B$11, _xlpm.i))))</f>
        <v>KEPAYAN</v>
      </c>
      <c r="F95" t="s">
        <v>388</v>
      </c>
      <c r="G95" t="str">
        <f>B95</f>
        <v>Kepayan</v>
      </c>
      <c r="H95" t="str">
        <f t="shared" si="3"/>
        <v>Kepayan</v>
      </c>
      <c r="I95" s="5">
        <f t="shared" si="4"/>
        <v>5.9258333333333333</v>
      </c>
      <c r="J95" s="5">
        <f t="shared" si="5"/>
        <v>116.05833333333334</v>
      </c>
    </row>
    <row r="96" spans="1:10" x14ac:dyDescent="0.25">
      <c r="A96" t="s">
        <v>171</v>
      </c>
      <c r="B96" t="s">
        <v>171</v>
      </c>
      <c r="C96" t="s">
        <v>172</v>
      </c>
      <c r="D96" t="str">
        <f t="shared" si="6"/>
        <v>EAST_OF_INANAM_TOWN</v>
      </c>
      <c r="E96" t="str" cm="1">
        <f t="array" ref="E96">_xlfn.REDUCE(D96, _xlfn.SEQUENCE(ROWS(Abbreviations!$A$2:$A$11)), _xlfn.LAMBDA(_xlpm.text,_xlpm.i, SUBSTITUTE(_xlpm.text, INDEX(Abbreviations!$A$2:$A$11, _xlpm.i), INDEX(Abbreviations!$B$2:$B$11, _xlpm.i))))</f>
        <v>EAST_INANAM_TOWN</v>
      </c>
      <c r="F96" t="s">
        <v>389</v>
      </c>
      <c r="G96" t="str">
        <f>B96</f>
        <v>East of Inanam Town</v>
      </c>
      <c r="H96" t="str">
        <f t="shared" si="3"/>
        <v>East of Inanam Town</v>
      </c>
      <c r="I96" s="5">
        <f t="shared" si="4"/>
        <v>5.9955555555555557</v>
      </c>
      <c r="J96" s="5">
        <f t="shared" si="5"/>
        <v>116.15138888888889</v>
      </c>
    </row>
    <row r="97" spans="1:10" x14ac:dyDescent="0.25">
      <c r="A97" t="s">
        <v>173</v>
      </c>
      <c r="B97" t="s">
        <v>173</v>
      </c>
      <c r="C97" t="s">
        <v>174</v>
      </c>
      <c r="D97" t="str">
        <f t="shared" si="6"/>
        <v>EAST_OF_TELIPOK</v>
      </c>
      <c r="E97" t="str" cm="1">
        <f t="array" ref="E97">_xlfn.REDUCE(D97, _xlfn.SEQUENCE(ROWS(Abbreviations!$A$2:$A$11)), _xlfn.LAMBDA(_xlpm.text,_xlpm.i, SUBSTITUTE(_xlpm.text, INDEX(Abbreviations!$A$2:$A$11, _xlpm.i), INDEX(Abbreviations!$B$2:$B$11, _xlpm.i))))</f>
        <v>EAST_TELIPOK</v>
      </c>
      <c r="F97" t="s">
        <v>390</v>
      </c>
      <c r="G97" t="str">
        <f>B97</f>
        <v>East of Telipok</v>
      </c>
      <c r="H97" t="str">
        <f t="shared" si="3"/>
        <v>East of Telipok</v>
      </c>
      <c r="I97" s="5">
        <f t="shared" si="4"/>
        <v>6.1083333333333334</v>
      </c>
      <c r="J97" s="5">
        <f t="shared" si="5"/>
        <v>116.20833333333334</v>
      </c>
    </row>
    <row r="98" spans="1:10" x14ac:dyDescent="0.25">
      <c r="A98" t="s">
        <v>175</v>
      </c>
      <c r="B98" t="s">
        <v>175</v>
      </c>
      <c r="C98" t="s">
        <v>176</v>
      </c>
      <c r="D98" t="str">
        <f t="shared" si="6"/>
        <v>KAMPUNG_KIULU</v>
      </c>
      <c r="E98" t="str" cm="1">
        <f t="array" ref="E98">_xlfn.REDUCE(D98, _xlfn.SEQUENCE(ROWS(Abbreviations!$A$2:$A$11)), _xlfn.LAMBDA(_xlpm.text,_xlpm.i, SUBSTITUTE(_xlpm.text, INDEX(Abbreviations!$A$2:$A$11, _xlpm.i), INDEX(Abbreviations!$B$2:$B$11, _xlpm.i))))</f>
        <v>KG_KIULU</v>
      </c>
      <c r="F98" t="s">
        <v>391</v>
      </c>
      <c r="G98" t="str">
        <f>B98</f>
        <v>Kampung Kiulu</v>
      </c>
      <c r="H98" t="str">
        <f t="shared" si="3"/>
        <v>Kampung Kiulu</v>
      </c>
      <c r="I98" s="5">
        <f t="shared" si="4"/>
        <v>6.0616666666666665</v>
      </c>
      <c r="J98" s="5">
        <f t="shared" si="5"/>
        <v>116.28305555555555</v>
      </c>
    </row>
    <row r="99" spans="1:10" x14ac:dyDescent="0.25">
      <c r="A99" t="s">
        <v>177</v>
      </c>
      <c r="B99" t="s">
        <v>177</v>
      </c>
      <c r="C99" t="s">
        <v>178</v>
      </c>
      <c r="D99" t="str">
        <f t="shared" si="6"/>
        <v>KAMPUNG_BALABAKAN</v>
      </c>
      <c r="E99" t="str" cm="1">
        <f t="array" ref="E99">_xlfn.REDUCE(D99, _xlfn.SEQUENCE(ROWS(Abbreviations!$A$2:$A$11)), _xlfn.LAMBDA(_xlpm.text,_xlpm.i, SUBSTITUTE(_xlpm.text, INDEX(Abbreviations!$A$2:$A$11, _xlpm.i), INDEX(Abbreviations!$B$2:$B$11, _xlpm.i))))</f>
        <v>KG_BALABAKAN</v>
      </c>
      <c r="F99" t="s">
        <v>392</v>
      </c>
      <c r="G99" t="str">
        <f>B99</f>
        <v>Kampung Balabakan</v>
      </c>
      <c r="H99" t="str">
        <f t="shared" si="3"/>
        <v>Kampung Balabakan</v>
      </c>
      <c r="I99" s="5">
        <f t="shared" si="4"/>
        <v>6.0250000000000004</v>
      </c>
      <c r="J99" s="5">
        <f t="shared" si="5"/>
        <v>116.4538888888889</v>
      </c>
    </row>
    <row r="100" spans="1:10" x14ac:dyDescent="0.25">
      <c r="A100" t="s">
        <v>179</v>
      </c>
      <c r="B100" t="s">
        <v>179</v>
      </c>
      <c r="C100" t="s">
        <v>180</v>
      </c>
      <c r="D100" t="str">
        <f t="shared" si="6"/>
        <v>RANAU</v>
      </c>
      <c r="E100" t="str" cm="1">
        <f t="array" ref="E100">_xlfn.REDUCE(D100, _xlfn.SEQUENCE(ROWS(Abbreviations!$A$2:$A$11)), _xlfn.LAMBDA(_xlpm.text,_xlpm.i, SUBSTITUTE(_xlpm.text, INDEX(Abbreviations!$A$2:$A$11, _xlpm.i), INDEX(Abbreviations!$B$2:$B$11, _xlpm.i))))</f>
        <v>RANAU</v>
      </c>
      <c r="F100" t="s">
        <v>331</v>
      </c>
      <c r="G100" t="str">
        <f>B100</f>
        <v>Ranau</v>
      </c>
      <c r="H100" t="str">
        <f t="shared" si="3"/>
        <v>Ranau</v>
      </c>
      <c r="I100" s="5">
        <f t="shared" si="4"/>
        <v>5.9583333333333339</v>
      </c>
      <c r="J100" s="5">
        <f t="shared" si="5"/>
        <v>116.67500000000001</v>
      </c>
    </row>
    <row r="101" spans="1:10" x14ac:dyDescent="0.25">
      <c r="A101" t="s">
        <v>181</v>
      </c>
      <c r="B101" t="s">
        <v>181</v>
      </c>
      <c r="C101" t="s">
        <v>182</v>
      </c>
      <c r="D101" t="str">
        <f t="shared" si="6"/>
        <v>WEST_OF_HILL_1040</v>
      </c>
      <c r="E101" t="str" cm="1">
        <f t="array" ref="E101">_xlfn.REDUCE(D101, _xlfn.SEQUENCE(ROWS(Abbreviations!$A$2:$A$11)), _xlfn.LAMBDA(_xlpm.text,_xlpm.i, SUBSTITUTE(_xlpm.text, INDEX(Abbreviations!$A$2:$A$11, _xlpm.i), INDEX(Abbreviations!$B$2:$B$11, _xlpm.i))))</f>
        <v>WEST_HILL_1040</v>
      </c>
      <c r="F101" t="s">
        <v>393</v>
      </c>
      <c r="G101" t="str">
        <f>B101</f>
        <v>West of Hill 1040</v>
      </c>
      <c r="H101" t="str">
        <f t="shared" si="3"/>
        <v>West of Hill 1040</v>
      </c>
      <c r="I101" s="5">
        <f t="shared" si="4"/>
        <v>6.1097222222222216</v>
      </c>
      <c r="J101" s="5">
        <f t="shared" si="5"/>
        <v>116.07694444444444</v>
      </c>
    </row>
    <row r="102" spans="1:10" x14ac:dyDescent="0.25">
      <c r="A102" t="s">
        <v>183</v>
      </c>
      <c r="B102" t="s">
        <v>183</v>
      </c>
      <c r="C102" t="s">
        <v>184</v>
      </c>
      <c r="D102" t="str">
        <f t="shared" si="6"/>
        <v>TANJUNG_DALIT</v>
      </c>
      <c r="E102" t="str" cm="1">
        <f t="array" ref="E102">_xlfn.REDUCE(D102, _xlfn.SEQUENCE(ROWS(Abbreviations!$A$2:$A$11)), _xlfn.LAMBDA(_xlpm.text,_xlpm.i, SUBSTITUTE(_xlpm.text, INDEX(Abbreviations!$A$2:$A$11, _xlpm.i), INDEX(Abbreviations!$B$2:$B$11, _xlpm.i))))</f>
        <v>TJ_DALIT</v>
      </c>
      <c r="F102" t="s">
        <v>394</v>
      </c>
      <c r="G102" t="str">
        <f>B102</f>
        <v>Tanjung Dalit</v>
      </c>
      <c r="H102" t="str">
        <f t="shared" si="3"/>
        <v>Tanjung Dalit</v>
      </c>
      <c r="I102" s="5">
        <f t="shared" si="4"/>
        <v>6.16</v>
      </c>
      <c r="J102" s="5">
        <f t="shared" si="5"/>
        <v>116.14166666666668</v>
      </c>
    </row>
    <row r="103" spans="1:10" x14ac:dyDescent="0.25">
      <c r="A103" t="s">
        <v>185</v>
      </c>
      <c r="B103" t="s">
        <v>185</v>
      </c>
      <c r="C103" t="s">
        <v>186</v>
      </c>
      <c r="D103" t="str">
        <f t="shared" si="6"/>
        <v>KOTA_BELUD</v>
      </c>
      <c r="E103" t="str" cm="1">
        <f t="array" ref="E103">_xlfn.REDUCE(D103, _xlfn.SEQUENCE(ROWS(Abbreviations!$A$2:$A$11)), _xlfn.LAMBDA(_xlpm.text,_xlpm.i, SUBSTITUTE(_xlpm.text, INDEX(Abbreviations!$A$2:$A$11, _xlpm.i), INDEX(Abbreviations!$B$2:$B$11, _xlpm.i))))</f>
        <v>KOTA_BELUD</v>
      </c>
      <c r="F103" t="s">
        <v>395</v>
      </c>
      <c r="G103" t="str">
        <f>B103</f>
        <v>Kota Belud</v>
      </c>
      <c r="H103" t="str">
        <f t="shared" si="3"/>
        <v>Kota Belud</v>
      </c>
      <c r="I103" s="5">
        <f t="shared" si="4"/>
        <v>6.3466666666666667</v>
      </c>
      <c r="J103" s="5">
        <f t="shared" si="5"/>
        <v>116.39777777777779</v>
      </c>
    </row>
    <row r="104" spans="1:10" x14ac:dyDescent="0.25">
      <c r="A104" t="s">
        <v>224</v>
      </c>
      <c r="B104" t="s">
        <v>224</v>
      </c>
      <c r="C104" t="s">
        <v>225</v>
      </c>
      <c r="D104" t="str">
        <f t="shared" si="6"/>
        <v>TERENDAK</v>
      </c>
      <c r="E104" t="str" cm="1">
        <f t="array" ref="E104">_xlfn.REDUCE(D104, _xlfn.SEQUENCE(ROWS(Abbreviations!$A$2:$A$11)), _xlfn.LAMBDA(_xlpm.text,_xlpm.i, SUBSTITUTE(_xlpm.text, INDEX(Abbreviations!$A$2:$A$11, _xlpm.i), INDEX(Abbreviations!$B$2:$B$11, _xlpm.i))))</f>
        <v>TERENDAK</v>
      </c>
      <c r="F104" t="s">
        <v>309</v>
      </c>
      <c r="G104" t="str">
        <f>B104</f>
        <v>Terendak</v>
      </c>
      <c r="H104" t="str">
        <f t="shared" si="3"/>
        <v>Terendak</v>
      </c>
      <c r="I104" s="5">
        <f t="shared" si="4"/>
        <v>2.2922222222222222</v>
      </c>
      <c r="J104" s="5">
        <f t="shared" si="5"/>
        <v>102.0911111111111</v>
      </c>
    </row>
    <row r="105" spans="1:10" x14ac:dyDescent="0.25">
      <c r="A105" t="s">
        <v>226</v>
      </c>
      <c r="B105" t="s">
        <v>226</v>
      </c>
      <c r="C105" t="s">
        <v>227</v>
      </c>
      <c r="D105" t="str">
        <f t="shared" si="6"/>
        <v>REMBIA</v>
      </c>
      <c r="E105" t="str" cm="1">
        <f t="array" ref="E105">_xlfn.REDUCE(D105, _xlfn.SEQUENCE(ROWS(Abbreviations!$A$2:$A$11)), _xlfn.LAMBDA(_xlpm.text,_xlpm.i, SUBSTITUTE(_xlpm.text, INDEX(Abbreviations!$A$2:$A$11, _xlpm.i), INDEX(Abbreviations!$B$2:$B$11, _xlpm.i))))</f>
        <v>REMBIA</v>
      </c>
      <c r="F105" t="s">
        <v>308</v>
      </c>
      <c r="G105" t="str">
        <f>B105</f>
        <v>Rembia</v>
      </c>
      <c r="H105" t="str">
        <f t="shared" si="3"/>
        <v>Rembia</v>
      </c>
      <c r="I105" s="5">
        <f t="shared" si="4"/>
        <v>2.2822222222222224</v>
      </c>
      <c r="J105" s="5">
        <f t="shared" si="5"/>
        <v>102.215</v>
      </c>
    </row>
    <row r="106" spans="1:10" x14ac:dyDescent="0.25">
      <c r="A106" t="s">
        <v>228</v>
      </c>
      <c r="B106" t="s">
        <v>228</v>
      </c>
      <c r="C106" t="s">
        <v>229</v>
      </c>
      <c r="D106" t="str">
        <f t="shared" si="6"/>
        <v>TAMPIN</v>
      </c>
      <c r="E106" t="str" cm="1">
        <f t="array" ref="E106">_xlfn.REDUCE(D106, _xlfn.SEQUENCE(ROWS(Abbreviations!$A$2:$A$11)), _xlfn.LAMBDA(_xlpm.text,_xlpm.i, SUBSTITUTE(_xlpm.text, INDEX(Abbreviations!$A$2:$A$11, _xlpm.i), INDEX(Abbreviations!$B$2:$B$11, _xlpm.i))))</f>
        <v>TAMPIN</v>
      </c>
      <c r="F106" t="s">
        <v>307</v>
      </c>
      <c r="G106" t="str">
        <f>B106</f>
        <v>Tampin</v>
      </c>
      <c r="H106" t="str">
        <f t="shared" si="3"/>
        <v>Tampin</v>
      </c>
      <c r="I106" s="5">
        <f t="shared" si="4"/>
        <v>2.4705555555555558</v>
      </c>
      <c r="J106" s="5">
        <f t="shared" si="5"/>
        <v>102.23</v>
      </c>
    </row>
    <row r="107" spans="1:10" x14ac:dyDescent="0.25">
      <c r="A107" t="s">
        <v>230</v>
      </c>
      <c r="B107" t="s">
        <v>230</v>
      </c>
      <c r="C107" t="s">
        <v>231</v>
      </c>
      <c r="D107" t="str">
        <f t="shared" si="6"/>
        <v>CHIN_CHIN</v>
      </c>
      <c r="E107" t="str" cm="1">
        <f t="array" ref="E107">_xlfn.REDUCE(D107, _xlfn.SEQUENCE(ROWS(Abbreviations!$A$2:$A$11)), _xlfn.LAMBDA(_xlpm.text,_xlpm.i, SUBSTITUTE(_xlpm.text, INDEX(Abbreviations!$A$2:$A$11, _xlpm.i), INDEX(Abbreviations!$B$2:$B$11, _xlpm.i))))</f>
        <v>CHIN_CHIN</v>
      </c>
      <c r="F107" t="s">
        <v>306</v>
      </c>
      <c r="G107" t="str">
        <f>B107</f>
        <v>Chin Chin</v>
      </c>
      <c r="H107" t="str">
        <f t="shared" si="3"/>
        <v>Chin Chin</v>
      </c>
      <c r="I107" s="5">
        <f t="shared" si="4"/>
        <v>2.29</v>
      </c>
      <c r="J107" s="5">
        <f t="shared" si="5"/>
        <v>102.47777777777777</v>
      </c>
    </row>
    <row r="108" spans="1:10" x14ac:dyDescent="0.25">
      <c r="A108" t="s">
        <v>232</v>
      </c>
      <c r="B108" t="s">
        <v>232</v>
      </c>
      <c r="C108" t="s">
        <v>233</v>
      </c>
      <c r="D108" t="str">
        <f t="shared" si="6"/>
        <v>BT_BERUANG</v>
      </c>
      <c r="E108" t="str" cm="1">
        <f t="array" ref="E108">_xlfn.REDUCE(D108, _xlfn.SEQUENCE(ROWS(Abbreviations!$A$2:$A$11)), _xlfn.LAMBDA(_xlpm.text,_xlpm.i, SUBSTITUTE(_xlpm.text, INDEX(Abbreviations!$A$2:$A$11, _xlpm.i), INDEX(Abbreviations!$B$2:$B$11, _xlpm.i))))</f>
        <v>BT_BERUANG</v>
      </c>
      <c r="F108" t="s">
        <v>305</v>
      </c>
      <c r="G108" t="str">
        <f>B108</f>
        <v>Bt Beruang</v>
      </c>
      <c r="H108" t="str">
        <f t="shared" si="3"/>
        <v>Bt Beruang</v>
      </c>
      <c r="I108" s="5">
        <f t="shared" si="4"/>
        <v>2.2422222222222223</v>
      </c>
      <c r="J108" s="5">
        <f t="shared" si="5"/>
        <v>102.30472222222222</v>
      </c>
    </row>
    <row r="109" spans="1:10" x14ac:dyDescent="0.25">
      <c r="A109" t="s">
        <v>234</v>
      </c>
      <c r="B109" t="s">
        <v>234</v>
      </c>
      <c r="C109" t="s">
        <v>235</v>
      </c>
      <c r="D109" t="str">
        <f t="shared" si="6"/>
        <v>UMBAI</v>
      </c>
      <c r="E109" t="str" cm="1">
        <f t="array" ref="E109">_xlfn.REDUCE(D109, _xlfn.SEQUENCE(ROWS(Abbreviations!$A$2:$A$11)), _xlfn.LAMBDA(_xlpm.text,_xlpm.i, SUBSTITUTE(_xlpm.text, INDEX(Abbreviations!$A$2:$A$11, _xlpm.i), INDEX(Abbreviations!$B$2:$B$11, _xlpm.i))))</f>
        <v>UMBAI</v>
      </c>
      <c r="F109" t="s">
        <v>303</v>
      </c>
      <c r="G109" t="str">
        <f>B109</f>
        <v>Umbai</v>
      </c>
      <c r="H109" t="str">
        <f t="shared" si="3"/>
        <v>Umbai</v>
      </c>
      <c r="I109" s="5">
        <f t="shared" si="4"/>
        <v>2.1555555555555554</v>
      </c>
      <c r="J109" s="5">
        <f t="shared" si="5"/>
        <v>102.34444444444443</v>
      </c>
    </row>
    <row r="110" spans="1:10" x14ac:dyDescent="0.25">
      <c r="A110" t="s">
        <v>236</v>
      </c>
      <c r="B110" t="s">
        <v>236</v>
      </c>
      <c r="C110" t="s">
        <v>237</v>
      </c>
      <c r="D110" t="str">
        <f t="shared" si="6"/>
        <v>MALACCA_CITY</v>
      </c>
      <c r="E110" t="str" cm="1">
        <f t="array" ref="E110">_xlfn.REDUCE(D110, _xlfn.SEQUENCE(ROWS(Abbreviations!$A$2:$A$11)), _xlfn.LAMBDA(_xlpm.text,_xlpm.i, SUBSTITUTE(_xlpm.text, INDEX(Abbreviations!$A$2:$A$11, _xlpm.i), INDEX(Abbreviations!$B$2:$B$11, _xlpm.i))))</f>
        <v>MALACCA_CITY</v>
      </c>
      <c r="F110" t="s">
        <v>300</v>
      </c>
      <c r="G110" t="str">
        <f>B110</f>
        <v>Malacca City</v>
      </c>
      <c r="H110" t="str">
        <f t="shared" si="3"/>
        <v>Malacca City</v>
      </c>
      <c r="I110" s="5">
        <f t="shared" si="4"/>
        <v>2.2000000000000002</v>
      </c>
      <c r="J110" s="5">
        <f t="shared" si="5"/>
        <v>102.25</v>
      </c>
    </row>
    <row r="111" spans="1:10" x14ac:dyDescent="0.25">
      <c r="A111" t="s">
        <v>238</v>
      </c>
      <c r="B111" t="s">
        <v>238</v>
      </c>
      <c r="C111" t="s">
        <v>239</v>
      </c>
      <c r="D111" t="str">
        <f t="shared" si="6"/>
        <v>MUAR</v>
      </c>
      <c r="E111" t="str" cm="1">
        <f t="array" ref="E111">_xlfn.REDUCE(D111, _xlfn.SEQUENCE(ROWS(Abbreviations!$A$2:$A$11)), _xlfn.LAMBDA(_xlpm.text,_xlpm.i, SUBSTITUTE(_xlpm.text, INDEX(Abbreviations!$A$2:$A$11, _xlpm.i), INDEX(Abbreviations!$B$2:$B$11, _xlpm.i))))</f>
        <v>MUAR</v>
      </c>
      <c r="F111" t="s">
        <v>301</v>
      </c>
      <c r="G111" t="str">
        <f>B111</f>
        <v>Muar</v>
      </c>
      <c r="H111" t="str">
        <f t="shared" si="3"/>
        <v>Muar</v>
      </c>
      <c r="I111" s="5">
        <f t="shared" si="4"/>
        <v>2.0616666666666665</v>
      </c>
      <c r="J111" s="5">
        <f t="shared" si="5"/>
        <v>102.565</v>
      </c>
    </row>
    <row r="112" spans="1:10" x14ac:dyDescent="0.25">
      <c r="A112" t="s">
        <v>240</v>
      </c>
      <c r="B112" t="s">
        <v>240</v>
      </c>
      <c r="C112" t="s">
        <v>241</v>
      </c>
      <c r="D112" t="str">
        <f t="shared" si="6"/>
        <v>TANGKAK</v>
      </c>
      <c r="E112" t="str" cm="1">
        <f t="array" ref="E112">_xlfn.REDUCE(D112, _xlfn.SEQUENCE(ROWS(Abbreviations!$A$2:$A$11)), _xlfn.LAMBDA(_xlpm.text,_xlpm.i, SUBSTITUTE(_xlpm.text, INDEX(Abbreviations!$A$2:$A$11, _xlpm.i), INDEX(Abbreviations!$B$2:$B$11, _xlpm.i))))</f>
        <v>TANGKAK</v>
      </c>
      <c r="F112" t="s">
        <v>302</v>
      </c>
      <c r="G112" t="str">
        <f>B112</f>
        <v>Tangkak</v>
      </c>
      <c r="H112" t="str">
        <f t="shared" si="3"/>
        <v>Tangkak</v>
      </c>
      <c r="I112" s="5">
        <f t="shared" si="4"/>
        <v>2.2722222222222221</v>
      </c>
      <c r="J112" s="5">
        <f t="shared" si="5"/>
        <v>102.54444444444444</v>
      </c>
    </row>
    <row r="113" spans="1:10" x14ac:dyDescent="0.25">
      <c r="A113" t="s">
        <v>242</v>
      </c>
      <c r="B113" t="s">
        <v>242</v>
      </c>
      <c r="C113" t="s">
        <v>243</v>
      </c>
      <c r="D113" t="str">
        <f t="shared" si="6"/>
        <v>PAGOH</v>
      </c>
      <c r="E113" t="str" cm="1">
        <f t="array" ref="E113">_xlfn.REDUCE(D113, _xlfn.SEQUENCE(ROWS(Abbreviations!$A$2:$A$11)), _xlfn.LAMBDA(_xlpm.text,_xlpm.i, SUBSTITUTE(_xlpm.text, INDEX(Abbreviations!$A$2:$A$11, _xlpm.i), INDEX(Abbreviations!$B$2:$B$11, _xlpm.i))))</f>
        <v>PAGOH</v>
      </c>
      <c r="F113" t="s">
        <v>304</v>
      </c>
      <c r="G113" t="str">
        <f>B113</f>
        <v>Pagoh</v>
      </c>
      <c r="H113" t="str">
        <f t="shared" si="3"/>
        <v>Pagoh</v>
      </c>
      <c r="I113" s="5">
        <f t="shared" si="4"/>
        <v>2.15</v>
      </c>
      <c r="J113" s="5">
        <f t="shared" si="5"/>
        <v>102.77</v>
      </c>
    </row>
  </sheetData>
  <pageMargins left="0.7" right="0.7" top="0.75" bottom="0.75" header="0.3" footer="0.3"/>
  <pageSetup paperSize="9" orientation="portrait" horizontalDpi="300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3D512-9EC5-4A5D-A16A-E672937134E0}">
  <dimension ref="A1:B11"/>
  <sheetViews>
    <sheetView workbookViewId="0">
      <selection activeCell="D15" sqref="D15"/>
    </sheetView>
  </sheetViews>
  <sheetFormatPr defaultRowHeight="15" x14ac:dyDescent="0.25"/>
  <cols>
    <col min="1" max="1" width="10.7109375" bestFit="1" customWidth="1"/>
  </cols>
  <sheetData>
    <row r="1" spans="1:2" x14ac:dyDescent="0.25">
      <c r="A1" t="s">
        <v>246</v>
      </c>
      <c r="B1" t="s">
        <v>247</v>
      </c>
    </row>
    <row r="2" spans="1:2" x14ac:dyDescent="0.25">
      <c r="A2" t="s">
        <v>269</v>
      </c>
      <c r="B2" t="s">
        <v>248</v>
      </c>
    </row>
    <row r="3" spans="1:2" x14ac:dyDescent="0.25">
      <c r="A3" t="s">
        <v>249</v>
      </c>
      <c r="B3" t="s">
        <v>250</v>
      </c>
    </row>
    <row r="4" spans="1:2" x14ac:dyDescent="0.25">
      <c r="A4" t="s">
        <v>272</v>
      </c>
      <c r="B4" t="s">
        <v>273</v>
      </c>
    </row>
    <row r="5" spans="1:2" x14ac:dyDescent="0.25">
      <c r="A5" t="s">
        <v>251</v>
      </c>
      <c r="B5" t="s">
        <v>252</v>
      </c>
    </row>
    <row r="6" spans="1:2" x14ac:dyDescent="0.25">
      <c r="A6" t="s">
        <v>258</v>
      </c>
      <c r="B6" t="s">
        <v>259</v>
      </c>
    </row>
    <row r="7" spans="1:2" x14ac:dyDescent="0.25">
      <c r="A7" t="s">
        <v>260</v>
      </c>
      <c r="B7" t="s">
        <v>261</v>
      </c>
    </row>
    <row r="8" spans="1:2" x14ac:dyDescent="0.25">
      <c r="A8" t="s">
        <v>262</v>
      </c>
      <c r="B8" t="s">
        <v>263</v>
      </c>
    </row>
    <row r="9" spans="1:2" x14ac:dyDescent="0.25">
      <c r="A9" t="s">
        <v>264</v>
      </c>
      <c r="B9" t="s">
        <v>265</v>
      </c>
    </row>
    <row r="10" spans="1:2" x14ac:dyDescent="0.25">
      <c r="A10" t="s">
        <v>318</v>
      </c>
      <c r="B10" t="s">
        <v>319</v>
      </c>
    </row>
    <row r="11" spans="1:2" x14ac:dyDescent="0.25">
      <c r="A11" t="s">
        <v>266</v>
      </c>
      <c r="B11" t="s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Google My Maps Output</vt:lpstr>
      <vt:lpstr>Garmin Output</vt:lpstr>
      <vt:lpstr>Source Data</vt:lpstr>
      <vt:lpstr>Abbreviations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Chan</dc:creator>
  <cp:lastModifiedBy>Joel Chan</cp:lastModifiedBy>
  <dcterms:created xsi:type="dcterms:W3CDTF">2015-06-05T18:17:20Z</dcterms:created>
  <dcterms:modified xsi:type="dcterms:W3CDTF">2026-09-30T15:55:32Z</dcterms:modified>
</cp:coreProperties>
</file>